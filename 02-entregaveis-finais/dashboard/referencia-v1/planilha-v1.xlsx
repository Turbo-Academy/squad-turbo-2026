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s Eventos" sheetId="1" r:id="rId5"/>
    <sheet state="visible" name="Captação" sheetId="2" r:id="rId6"/>
    <sheet state="visible" name="Calculadora CAC" sheetId="3" r:id="rId7"/>
    <sheet state="visible" name="Págs. Captação" sheetId="4" r:id="rId8"/>
    <sheet state="visible" name="Págs. Gerais" sheetId="5" r:id="rId9"/>
    <sheet state="visible" name="Links Gerais" sheetId="6" r:id="rId10"/>
    <sheet state="visible" name="DB - Lançamentos" sheetId="7" r:id="rId11"/>
    <sheet state="visible" name="Pesquisa de Leads (Captação)" sheetId="8" r:id="rId12"/>
    <sheet state="visible" name="Ficha de Interesse (Evento)" sheetId="9" r:id="rId13"/>
    <sheet state="visible" name="Pesquisa de Satisfação (Pós-Eve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COM IMPOSTO META</t>
      </text>
    </comment>
    <comment authorId="0" ref="H2">
      <text>
        <t xml:space="preserve">COM VENDA DE INGRESSOS
INCLUINDO ORDERBUMP'S
E UPSELL (SE TIVER)</t>
      </text>
    </comment>
  </commentList>
</comments>
</file>

<file path=xl/sharedStrings.xml><?xml version="1.0" encoding="utf-8"?>
<sst xmlns="http://schemas.openxmlformats.org/spreadsheetml/2006/main" count="274" uniqueCount="202">
  <si>
    <t>EVENTO x DADOS
Preencher Amarelas</t>
  </si>
  <si>
    <t>CAPTAÇÃO | Dados VK Metrics</t>
  </si>
  <si>
    <t>TRÁFEGO | Dados VK Metrics</t>
  </si>
  <si>
    <t>EVENTO | AULAS | PICO AO VIVO | Dados YouTube</t>
  </si>
  <si>
    <t>EVENTO | AULAS | ESPECTADORES ÚNICOS | Dados YouTube</t>
  </si>
  <si>
    <t>CONVERSÃO | Dados VK Metrics</t>
  </si>
  <si>
    <t>RESULTADO</t>
  </si>
  <si>
    <t>Imposto Faturamento</t>
  </si>
  <si>
    <t>$ Ingresso</t>
  </si>
  <si>
    <t>Ingressos</t>
  </si>
  <si>
    <t>CAC</t>
  </si>
  <si>
    <t>Lead Score</t>
  </si>
  <si>
    <t>Investimento</t>
  </si>
  <si>
    <t>Faturamento</t>
  </si>
  <si>
    <t>Saldo Captação</t>
  </si>
  <si>
    <t>ROAS</t>
  </si>
  <si>
    <t>CPM</t>
  </si>
  <si>
    <t>CTR</t>
  </si>
  <si>
    <t>CARREGAMENTO</t>
  </si>
  <si>
    <t>TAXA CHECKOUT</t>
  </si>
  <si>
    <t>CONV. CHECKOUT</t>
  </si>
  <si>
    <t>CONVERSÃO PAG</t>
  </si>
  <si>
    <t>Inscritos x A1</t>
  </si>
  <si>
    <t>1 | Segunda</t>
  </si>
  <si>
    <t>Retenção 1p2</t>
  </si>
  <si>
    <t>2 | Terça</t>
  </si>
  <si>
    <t>Retenção 2p3</t>
  </si>
  <si>
    <t>3 | Quarta</t>
  </si>
  <si>
    <t>Retenção 3p4</t>
  </si>
  <si>
    <t>4 | Quinta</t>
  </si>
  <si>
    <t>Retenção 4p5</t>
  </si>
  <si>
    <t>5 | Sexta</t>
  </si>
  <si>
    <t>Retenção 5pZ</t>
  </si>
  <si>
    <t>Zoom | Sábado</t>
  </si>
  <si>
    <t>Retenção 5p6</t>
  </si>
  <si>
    <t>6 | Domingo</t>
  </si>
  <si>
    <t>Ficha Interesse</t>
  </si>
  <si>
    <t>Ingresso x Ficha</t>
  </si>
  <si>
    <t>Vendas</t>
  </si>
  <si>
    <t>% Conversão</t>
  </si>
  <si>
    <t>% Conv. Ficha</t>
  </si>
  <si>
    <t>% Conv. Aula 1</t>
  </si>
  <si>
    <t>% Conv. Aula 6</t>
  </si>
  <si>
    <t>$ Investimento</t>
  </si>
  <si>
    <t>$ Faturamento</t>
  </si>
  <si>
    <t>Imposto</t>
  </si>
  <si>
    <t>$ Líquido</t>
  </si>
  <si>
    <t>ROAS Total</t>
  </si>
  <si>
    <t>LPSG_01/26 - xx/xx</t>
  </si>
  <si>
    <t>DATA</t>
  </si>
  <si>
    <t>DIA SEMANA</t>
  </si>
  <si>
    <t>INGRESSOS</t>
  </si>
  <si>
    <t>GASTO</t>
  </si>
  <si>
    <t>FATURAMENTO</t>
  </si>
  <si>
    <t>CAC LIMITE</t>
  </si>
  <si>
    <t>SINAL</t>
  </si>
  <si>
    <t>% LIMITE</t>
  </si>
  <si>
    <t>DADOS</t>
  </si>
  <si>
    <t>META</t>
  </si>
  <si>
    <t>MÁXIMO</t>
  </si>
  <si>
    <t>Valor Ingresso (Líquido)</t>
  </si>
  <si>
    <t>Valor Principal (Líquido)</t>
  </si>
  <si>
    <t>Taxa Conversão</t>
  </si>
  <si>
    <t>Vendas Ingressos</t>
  </si>
  <si>
    <t>Faturamento Ingressos</t>
  </si>
  <si>
    <t>CAC Captação</t>
  </si>
  <si>
    <t>ROAS Captação</t>
  </si>
  <si>
    <t>Vendas Prod. Principal</t>
  </si>
  <si>
    <t>Faturamento Prod. Principal</t>
  </si>
  <si>
    <t>Faturamento Total</t>
  </si>
  <si>
    <t>Investimento Total</t>
  </si>
  <si>
    <t>Resultado Líquido</t>
  </si>
  <si>
    <t>LPSG | Páginas de Captação (Venda de Ingressos)</t>
  </si>
  <si>
    <t>SUBDOMÍNIO</t>
  </si>
  <si>
    <t>lpsg.dominio.com.br/</t>
  </si>
  <si>
    <t>VERSÃO</t>
  </si>
  <si>
    <t>SLUG</t>
  </si>
  <si>
    <t>LINK</t>
  </si>
  <si>
    <t>STATUS</t>
  </si>
  <si>
    <t>OBSERVAÇÃO</t>
  </si>
  <si>
    <t>V1</t>
  </si>
  <si>
    <t>cadastro-v1</t>
  </si>
  <si>
    <t>V2</t>
  </si>
  <si>
    <t>cadastro-v2</t>
  </si>
  <si>
    <t>V3</t>
  </si>
  <si>
    <t>cadastro-v3</t>
  </si>
  <si>
    <t>V4</t>
  </si>
  <si>
    <t>cadastro-v4</t>
  </si>
  <si>
    <t>V5</t>
  </si>
  <si>
    <t>cadastro-v5</t>
  </si>
  <si>
    <t>V6</t>
  </si>
  <si>
    <t>cadastro-v6</t>
  </si>
  <si>
    <t>V7</t>
  </si>
  <si>
    <t>cadastro-v7</t>
  </si>
  <si>
    <t>V8</t>
  </si>
  <si>
    <t>cadastro-v8</t>
  </si>
  <si>
    <t>V9</t>
  </si>
  <si>
    <t>cadastro-v9</t>
  </si>
  <si>
    <t>V10</t>
  </si>
  <si>
    <t>cadastro-v10</t>
  </si>
  <si>
    <t>V11</t>
  </si>
  <si>
    <t>cadastro-v11</t>
  </si>
  <si>
    <t>V12</t>
  </si>
  <si>
    <t>cadastro-v12</t>
  </si>
  <si>
    <t>V13</t>
  </si>
  <si>
    <t>cadastro-v13</t>
  </si>
  <si>
    <t>V14</t>
  </si>
  <si>
    <t>cadastro-v14</t>
  </si>
  <si>
    <t>V15</t>
  </si>
  <si>
    <t>cadastro-v15</t>
  </si>
  <si>
    <t>V16</t>
  </si>
  <si>
    <t>cadastro-v16</t>
  </si>
  <si>
    <t>V17</t>
  </si>
  <si>
    <t>cadastro-v17</t>
  </si>
  <si>
    <t>V18</t>
  </si>
  <si>
    <t>cadastro-v18</t>
  </si>
  <si>
    <t>V19</t>
  </si>
  <si>
    <t>cadastro-v19</t>
  </si>
  <si>
    <t>V20</t>
  </si>
  <si>
    <t>cadastro-v20</t>
  </si>
  <si>
    <t>V21</t>
  </si>
  <si>
    <t>cadastro-v21</t>
  </si>
  <si>
    <t>V22</t>
  </si>
  <si>
    <t>cadastro-v22</t>
  </si>
  <si>
    <t>V23</t>
  </si>
  <si>
    <t>cadastro-v23</t>
  </si>
  <si>
    <t>V24</t>
  </si>
  <si>
    <t>cadastro-v24</t>
  </si>
  <si>
    <t>V25</t>
  </si>
  <si>
    <t>cadastro-v25</t>
  </si>
  <si>
    <t>V26</t>
  </si>
  <si>
    <t>cadastro-v26</t>
  </si>
  <si>
    <t>V27</t>
  </si>
  <si>
    <t>cadastro-v27</t>
  </si>
  <si>
    <t>LPSG | PÁGINAS GERAIS</t>
  </si>
  <si>
    <t>FASE</t>
  </si>
  <si>
    <t>DESCRIÇÃO</t>
  </si>
  <si>
    <t>Captação</t>
  </si>
  <si>
    <t>Página de Obrigado - Pagamento Confirmado</t>
  </si>
  <si>
    <t>obrigado-confirmado</t>
  </si>
  <si>
    <t>Página de Obrigado - Pagamento Pendente</t>
  </si>
  <si>
    <t>obrigado-pendente</t>
  </si>
  <si>
    <t>Pesquisa de Leads (pós-compra ingresso)</t>
  </si>
  <si>
    <t>pesquisa-cadastro</t>
  </si>
  <si>
    <t>Evento</t>
  </si>
  <si>
    <t>Ficha de Interesse (Aula 4, quinta, a Aula 6, domingo)</t>
  </si>
  <si>
    <t>ficha-interesse</t>
  </si>
  <si>
    <t>Página de Vendas Dia 1 (condições de 1º dia)</t>
  </si>
  <si>
    <t>inscricao-d1</t>
  </si>
  <si>
    <t>Página de Vendas Geral (condições normais)</t>
  </si>
  <si>
    <t>inscricao-geral</t>
  </si>
  <si>
    <t>Pós-vendas</t>
  </si>
  <si>
    <t>Pesquisa de Satisfação (pós-vendas)</t>
  </si>
  <si>
    <t>pesquisa-nps</t>
  </si>
  <si>
    <t>LPSG | LINKS GERAIS</t>
  </si>
  <si>
    <t>Venda de Ingressos - IG BIO</t>
  </si>
  <si>
    <t>lpsg-ig-bio</t>
  </si>
  <si>
    <t>Dinâmico (sempre melhor PV)</t>
  </si>
  <si>
    <t>Venda de Ingressos - IG STORY</t>
  </si>
  <si>
    <t>lpsg-ig-story</t>
  </si>
  <si>
    <t>Venda de Ingressos - YOUTUBE BIO</t>
  </si>
  <si>
    <t>lpsg-yt-bio</t>
  </si>
  <si>
    <t>Venda de Ingressos - YOUTUBE DESCRIÇÃO</t>
  </si>
  <si>
    <t>lpsg-yt-des</t>
  </si>
  <si>
    <t>Aula 1</t>
  </si>
  <si>
    <t>lpsg-aula1</t>
  </si>
  <si>
    <t>Dinâmico (aula do evento atual)</t>
  </si>
  <si>
    <t>Aula 2</t>
  </si>
  <si>
    <t>lpsg-aula2</t>
  </si>
  <si>
    <t>Aula 3</t>
  </si>
  <si>
    <t>lpsg-aula3</t>
  </si>
  <si>
    <t>Aula 4</t>
  </si>
  <si>
    <t>lpsg-aula4</t>
  </si>
  <si>
    <t>Aula 5</t>
  </si>
  <si>
    <t>lpsg-aula5</t>
  </si>
  <si>
    <t>Aula 6</t>
  </si>
  <si>
    <t>lpsg-aula6</t>
  </si>
  <si>
    <t>Link da Playlist</t>
  </si>
  <si>
    <t>lpsg-playlist</t>
  </si>
  <si>
    <t>Dinâmico (playlist do evento atual)</t>
  </si>
  <si>
    <t>Checkout de Vendas Dia 1 (condições de 1º dia)</t>
  </si>
  <si>
    <t>checkout-d1</t>
  </si>
  <si>
    <t>FIXO</t>
  </si>
  <si>
    <t>Checkout de Vendas Geral (condições normais)</t>
  </si>
  <si>
    <t>checkout-geral</t>
  </si>
  <si>
    <t>Geral</t>
  </si>
  <si>
    <t>Contato do Suporte</t>
  </si>
  <si>
    <t>lpsg-suporte</t>
  </si>
  <si>
    <t>Grupos SendFlow</t>
  </si>
  <si>
    <t>Campanha Captação</t>
  </si>
  <si>
    <t>DIRETO DO SENDFLOW</t>
  </si>
  <si>
    <t>FIXO (Direto do SendFlow)</t>
  </si>
  <si>
    <t>Campanha Evento</t>
  </si>
  <si>
    <t>Campanha Vendas</t>
  </si>
  <si>
    <t>Campanha Arquivado</t>
  </si>
  <si>
    <t>Turma</t>
  </si>
  <si>
    <t>Data Inicio de Captação</t>
  </si>
  <si>
    <t>Fim da Captação</t>
  </si>
  <si>
    <t>Data Inicio do Evento</t>
  </si>
  <si>
    <t>Abertura de Carrinho</t>
  </si>
  <si>
    <t>Playlist</t>
  </si>
  <si>
    <t>Grupo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</si>
</sst>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/mm/yyyy"/>
    <numFmt numFmtId="166" formatCode="yyyy-mm-dd hh:mm:ss"/>
  </numFmts>
  <fonts count="18">
    <font>
      <sz val="10.0"/>
      <color rgb="FF000000"/>
      <name val="Arial"/>
      <scheme val="minor"/>
    </font>
    <font>
      <b/>
      <sz val="10.0"/>
      <color theme="1"/>
      <name val="Arial"/>
    </font>
    <font>
      <b/>
      <sz val="20.0"/>
      <color theme="1"/>
      <name val="Arial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25.0"/>
      <color rgb="FFFFFFFF"/>
      <name val="Arial"/>
    </font>
    <font>
      <b/>
      <color rgb="FFFFFFFF"/>
      <name val="Arial"/>
    </font>
    <font>
      <b/>
      <u/>
      <color rgb="FFFFFF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3" xfId="0" applyAlignment="1" applyFill="1" applyFont="1" applyNumberFormat="1">
      <alignment horizontal="center" readingOrder="0" vertical="center"/>
    </xf>
    <xf borderId="0" fillId="3" fontId="1" numFmtId="3" xfId="0" applyAlignment="1" applyFill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3" fontId="1" numFmtId="4" xfId="0" applyAlignment="1" applyFont="1" applyNumberFormat="1">
      <alignment horizontal="center" readingOrder="0" vertical="center"/>
    </xf>
    <xf borderId="0" fillId="2" fontId="1" numFmtId="10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textRotation="255" vertical="center"/>
    </xf>
    <xf borderId="0" fillId="2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  <xf borderId="0" fillId="2" fontId="3" numFmtId="164" xfId="0" applyAlignment="1" applyFont="1" applyNumberFormat="1">
      <alignment horizontal="center"/>
    </xf>
    <xf borderId="0" fillId="2" fontId="3" numFmtId="164" xfId="0" applyAlignment="1" applyFont="1" applyNumberFormat="1">
      <alignment horizontal="right"/>
    </xf>
    <xf borderId="0" fillId="2" fontId="3" numFmtId="10" xfId="0" applyAlignment="1" applyFont="1" applyNumberFormat="1">
      <alignment horizontal="center"/>
    </xf>
    <xf borderId="0" fillId="4" fontId="1" numFmtId="164" xfId="0" applyAlignment="1" applyFill="1" applyFont="1" applyNumberFormat="1">
      <alignment horizontal="center" readingOrder="0" vertical="center"/>
    </xf>
    <xf borderId="0" fillId="4" fontId="1" numFmtId="3" xfId="0" applyAlignment="1" applyFont="1" applyNumberFormat="1">
      <alignment horizontal="center" readingOrder="0" vertical="center"/>
    </xf>
    <xf borderId="0" fillId="5" fontId="1" numFmtId="164" xfId="0" applyAlignment="1" applyFill="1" applyFont="1" applyNumberFormat="1">
      <alignment horizontal="center" readingOrder="0" vertical="center"/>
    </xf>
    <xf borderId="0" fillId="4" fontId="1" numFmtId="4" xfId="0" applyAlignment="1" applyFont="1" applyNumberFormat="1">
      <alignment horizontal="center" readingOrder="0" vertical="center"/>
    </xf>
    <xf borderId="0" fillId="5" fontId="3" numFmtId="164" xfId="0" applyAlignment="1" applyFont="1" applyNumberFormat="1">
      <alignment horizontal="center"/>
    </xf>
    <xf borderId="0" fillId="5" fontId="1" numFmtId="4" xfId="0" applyAlignment="1" applyFont="1" applyNumberFormat="1">
      <alignment horizontal="center" readingOrder="0" vertical="center"/>
    </xf>
    <xf borderId="0" fillId="5" fontId="1" numFmtId="10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4" fontId="3" numFmtId="3" xfId="0" applyAlignment="1" applyFont="1" applyNumberFormat="1">
      <alignment horizontal="center"/>
    </xf>
    <xf borderId="0" fillId="5" fontId="3" numFmtId="10" xfId="0" applyAlignment="1" applyFont="1" applyNumberFormat="1">
      <alignment horizontal="center"/>
    </xf>
    <xf borderId="0" fillId="4" fontId="1" numFmtId="0" xfId="0" applyAlignment="1" applyFont="1">
      <alignment horizontal="center" readingOrder="0" vertical="center"/>
    </xf>
    <xf borderId="0" fillId="4" fontId="3" numFmtId="164" xfId="0" applyAlignment="1" applyFont="1" applyNumberFormat="1">
      <alignment horizontal="center"/>
    </xf>
    <xf borderId="0" fillId="5" fontId="3" numFmtId="4" xfId="0" applyAlignment="1" applyFont="1" applyNumberFormat="1">
      <alignment horizontal="center"/>
    </xf>
    <xf borderId="0" fillId="6" fontId="4" numFmtId="0" xfId="0" applyAlignment="1" applyFill="1" applyFont="1">
      <alignment horizontal="left" readingOrder="0" vertical="center"/>
    </xf>
    <xf borderId="0" fillId="3" fontId="4" numFmtId="0" xfId="0" applyAlignment="1" applyFont="1">
      <alignment horizontal="center" vertical="center"/>
    </xf>
    <xf borderId="0" fillId="6" fontId="4" numFmtId="164" xfId="0" applyAlignment="1" applyFont="1" applyNumberFormat="1">
      <alignment horizontal="center" readingOrder="0" vertical="center"/>
    </xf>
    <xf borderId="0" fillId="6" fontId="4" numFmtId="3" xfId="0" applyAlignment="1" applyFont="1" applyNumberFormat="1">
      <alignment horizontal="center" readingOrder="0" vertical="center"/>
    </xf>
    <xf borderId="0" fillId="6" fontId="4" numFmtId="164" xfId="0" applyAlignment="1" applyFont="1" applyNumberFormat="1">
      <alignment horizontal="center" vertical="center"/>
    </xf>
    <xf borderId="0" fillId="6" fontId="4" numFmtId="4" xfId="0" applyAlignment="1" applyFont="1" applyNumberFormat="1">
      <alignment horizontal="center" readingOrder="0" vertical="center"/>
    </xf>
    <xf borderId="0" fillId="6" fontId="5" numFmtId="164" xfId="0" applyAlignment="1" applyFont="1" applyNumberFormat="1">
      <alignment horizontal="center"/>
    </xf>
    <xf borderId="0" fillId="6" fontId="4" numFmtId="4" xfId="0" applyAlignment="1" applyFont="1" applyNumberFormat="1">
      <alignment horizontal="center" vertical="center"/>
    </xf>
    <xf borderId="0" fillId="6" fontId="4" numFmtId="10" xfId="0" applyAlignment="1" applyFont="1" applyNumberFormat="1">
      <alignment horizontal="center" readingOrder="0" vertical="center"/>
    </xf>
    <xf borderId="0" fillId="6" fontId="4" numFmtId="10" xfId="0" applyAlignment="1" applyFont="1" applyNumberFormat="1">
      <alignment horizontal="center" vertical="center"/>
    </xf>
    <xf borderId="0" fillId="6" fontId="5" numFmtId="3" xfId="0" applyAlignment="1" applyFont="1" applyNumberFormat="1">
      <alignment horizontal="center" readingOrder="0"/>
    </xf>
    <xf borderId="0" fillId="6" fontId="4" numFmtId="0" xfId="0" applyAlignment="1" applyFont="1">
      <alignment horizontal="center" readingOrder="0" vertical="center"/>
    </xf>
    <xf borderId="0" fillId="6" fontId="5" numFmtId="10" xfId="0" applyAlignment="1" applyFont="1" applyNumberFormat="1">
      <alignment horizontal="center"/>
    </xf>
    <xf borderId="0" fillId="6" fontId="5" numFmtId="164" xfId="0" applyAlignment="1" applyFont="1" applyNumberFormat="1">
      <alignment horizontal="center" readingOrder="0"/>
    </xf>
    <xf borderId="0" fillId="6" fontId="5" numFmtId="4" xfId="0" applyAlignment="1" applyFont="1" applyNumberFormat="1">
      <alignment horizontal="center"/>
    </xf>
    <xf borderId="0" fillId="5" fontId="4" numFmtId="0" xfId="0" applyAlignment="1" applyFont="1">
      <alignment horizontal="left" readingOrder="0" vertical="center"/>
    </xf>
    <xf borderId="0" fillId="5" fontId="4" numFmtId="164" xfId="0" applyAlignment="1" applyFont="1" applyNumberFormat="1">
      <alignment horizontal="center" readingOrder="0" vertical="center"/>
    </xf>
    <xf borderId="0" fillId="5" fontId="4" numFmtId="3" xfId="0" applyAlignment="1" applyFont="1" applyNumberFormat="1">
      <alignment horizontal="center" readingOrder="0" vertical="center"/>
    </xf>
    <xf borderId="0" fillId="5" fontId="4" numFmtId="164" xfId="0" applyAlignment="1" applyFont="1" applyNumberFormat="1">
      <alignment horizontal="center" vertical="center"/>
    </xf>
    <xf borderId="0" fillId="5" fontId="4" numFmtId="4" xfId="0" applyAlignment="1" applyFont="1" applyNumberFormat="1">
      <alignment horizontal="center" readingOrder="0" vertical="center"/>
    </xf>
    <xf borderId="0" fillId="5" fontId="5" numFmtId="164" xfId="0" applyAlignment="1" applyFont="1" applyNumberFormat="1">
      <alignment horizontal="center"/>
    </xf>
    <xf borderId="0" fillId="5" fontId="4" numFmtId="4" xfId="0" applyAlignment="1" applyFont="1" applyNumberFormat="1">
      <alignment horizontal="center" vertical="center"/>
    </xf>
    <xf borderId="0" fillId="5" fontId="4" numFmtId="10" xfId="0" applyAlignment="1" applyFont="1" applyNumberFormat="1">
      <alignment horizontal="center" vertical="center"/>
    </xf>
    <xf borderId="0" fillId="5" fontId="4" numFmtId="3" xfId="0" applyAlignment="1" applyFont="1" applyNumberFormat="1">
      <alignment horizontal="center" vertical="center"/>
    </xf>
    <xf borderId="0" fillId="5" fontId="5" numFmtId="3" xfId="0" applyAlignment="1" applyFont="1" applyNumberFormat="1">
      <alignment horizontal="center"/>
    </xf>
    <xf borderId="0" fillId="5" fontId="4" numFmtId="10" xfId="0" applyAlignment="1" applyFont="1" applyNumberFormat="1">
      <alignment horizontal="center" readingOrder="0" vertical="center"/>
    </xf>
    <xf borderId="0" fillId="5" fontId="4" numFmtId="0" xfId="0" applyAlignment="1" applyFont="1">
      <alignment horizontal="center" vertical="center"/>
    </xf>
    <xf borderId="0" fillId="5" fontId="5" numFmtId="10" xfId="0" applyAlignment="1" applyFont="1" applyNumberFormat="1">
      <alignment horizontal="center"/>
    </xf>
    <xf borderId="0" fillId="5" fontId="5" numFmtId="4" xfId="0" applyAlignment="1" applyFont="1" applyNumberFormat="1">
      <alignment horizontal="center"/>
    </xf>
    <xf borderId="0" fillId="6" fontId="4" numFmtId="3" xfId="0" applyAlignment="1" applyFont="1" applyNumberFormat="1">
      <alignment horizontal="center" vertical="center"/>
    </xf>
    <xf borderId="0" fillId="6" fontId="5" numFmtId="3" xfId="0" applyAlignment="1" applyFont="1" applyNumberFormat="1">
      <alignment horizontal="center"/>
    </xf>
    <xf borderId="0" fillId="6" fontId="4" numFmtId="0" xfId="0" applyAlignment="1" applyFont="1">
      <alignment horizontal="center" vertical="center"/>
    </xf>
    <xf borderId="0" fillId="5" fontId="4" numFmtId="0" xfId="0" applyAlignment="1" applyFont="1">
      <alignment horizontal="left" vertical="center"/>
    </xf>
    <xf borderId="0" fillId="6" fontId="4" numFmtId="0" xfId="0" applyAlignment="1" applyFont="1">
      <alignment horizontal="left" vertical="center"/>
    </xf>
    <xf borderId="0" fillId="6" fontId="5" numFmtId="3" xfId="0" applyFont="1" applyNumberFormat="1"/>
    <xf borderId="0" fillId="5" fontId="5" numFmtId="3" xfId="0" applyFont="1" applyNumberFormat="1"/>
    <xf borderId="0" fillId="0" fontId="6" numFmtId="0" xfId="0" applyAlignment="1" applyFont="1">
      <alignment horizontal="center" readingOrder="0" vertical="center"/>
    </xf>
    <xf borderId="0" fillId="4" fontId="6" numFmtId="3" xfId="0" applyAlignment="1" applyFont="1" applyNumberFormat="1">
      <alignment horizontal="center" readingOrder="0" vertical="center"/>
    </xf>
    <xf borderId="0" fillId="4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4" xfId="0" applyAlignment="1" applyFont="1" applyNumberFormat="1">
      <alignment horizontal="center" readingOrder="0" vertical="center"/>
    </xf>
    <xf borderId="0" fillId="7" fontId="6" numFmtId="164" xfId="0" applyAlignment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4" fontId="8" numFmtId="164" xfId="0" applyAlignment="1" applyFont="1" applyNumberFormat="1">
      <alignment horizontal="center" readingOrder="0" vertical="center"/>
    </xf>
    <xf borderId="0" fillId="4" fontId="8" numFmtId="10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7" fontId="8" numFmtId="3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7" numFmtId="2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0" fillId="8" fontId="9" numFmtId="0" xfId="0" applyAlignment="1" applyFill="1" applyFont="1">
      <alignment horizontal="center" readingOrder="0"/>
    </xf>
    <xf borderId="0" fillId="8" fontId="10" numFmtId="0" xfId="0" applyAlignment="1" applyFont="1">
      <alignment horizontal="center" readingOrder="0"/>
    </xf>
    <xf borderId="0" fillId="8" fontId="11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3" fontId="3" numFmtId="0" xfId="0" applyAlignment="1" applyFont="1">
      <alignment horizontal="center" vertical="center"/>
    </xf>
    <xf borderId="0" fillId="5" fontId="5" numFmtId="0" xfId="0" applyAlignment="1" applyFont="1">
      <alignment horizontal="center"/>
    </xf>
    <xf borderId="0" fillId="5" fontId="5" numFmtId="0" xfId="0" applyAlignment="1" applyFont="1">
      <alignment horizontal="center" readingOrder="0"/>
    </xf>
    <xf borderId="0" fillId="5" fontId="12" numFmtId="0" xfId="0" applyAlignment="1" applyFont="1">
      <alignment horizontal="center"/>
    </xf>
    <xf borderId="0" fillId="5" fontId="5" numFmtId="0" xfId="0" applyAlignment="1" applyFont="1">
      <alignment horizontal="center" readingOrder="0" vertical="center"/>
    </xf>
    <xf borderId="0" fillId="5" fontId="5" numFmtId="0" xfId="0" applyFont="1"/>
    <xf borderId="0" fillId="6" fontId="5" numFmtId="0" xfId="0" applyAlignment="1" applyFont="1">
      <alignment horizontal="center"/>
    </xf>
    <xf borderId="0" fillId="6" fontId="5" numFmtId="0" xfId="0" applyAlignment="1" applyFont="1">
      <alignment horizontal="center" readingOrder="0"/>
    </xf>
    <xf borderId="0" fillId="6" fontId="13" numFmtId="0" xfId="0" applyAlignment="1" applyFont="1">
      <alignment horizontal="center"/>
    </xf>
    <xf borderId="0" fillId="6" fontId="5" numFmtId="0" xfId="0" applyAlignment="1" applyFont="1">
      <alignment horizontal="center" readingOrder="0" vertical="center"/>
    </xf>
    <xf borderId="0" fillId="6" fontId="5" numFmtId="0" xfId="0" applyFont="1"/>
    <xf borderId="0" fillId="6" fontId="4" numFmtId="0" xfId="0" applyFont="1"/>
    <xf borderId="0" fillId="5" fontId="4" numFmtId="0" xfId="0" applyFont="1"/>
    <xf borderId="0" fillId="5" fontId="4" numFmtId="0" xfId="0" applyAlignment="1" applyFont="1">
      <alignment horizontal="center" readingOrder="0" vertical="center"/>
    </xf>
    <xf borderId="0" fillId="5" fontId="14" numFmtId="0" xfId="0" applyAlignment="1" applyFont="1">
      <alignment horizontal="center" vertical="center"/>
    </xf>
    <xf borderId="0" fillId="8" fontId="9" numFmtId="0" xfId="0" applyAlignment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6" fontId="15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 vertical="bottom"/>
    </xf>
    <xf borderId="1" fillId="0" fontId="3" numFmtId="49" xfId="0" applyAlignment="1" applyBorder="1" applyFont="1" applyNumberFormat="1">
      <alignment horizontal="left" vertical="bottom"/>
    </xf>
    <xf borderId="1" fillId="0" fontId="3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left" vertical="bottom"/>
    </xf>
    <xf borderId="0" fillId="0" fontId="4" numFmtId="0" xfId="0" applyAlignment="1" applyFont="1">
      <alignment horizontal="left" readingOrder="0" vertical="center"/>
    </xf>
    <xf borderId="0" fillId="0" fontId="5" numFmtId="49" xfId="0" applyAlignment="1" applyFont="1" applyNumberFormat="1">
      <alignment horizontal="left" readingOrder="0" vertical="bottom"/>
    </xf>
    <xf borderId="0" fillId="0" fontId="16" numFmtId="0" xfId="0" applyAlignment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Captação-style">
      <tableStyleElement dxfId="1" type="headerRow"/>
      <tableStyleElement dxfId="2" type="firstRowStripe"/>
      <tableStyleElement dxfId="3" type="secondRowStripe"/>
    </tableStyle>
    <tableStyle count="3" pivot="0" name="Calculadora CAC-style">
      <tableStyleElement dxfId="1" type="headerRow"/>
      <tableStyleElement dxfId="2" type="firstRowStripe"/>
      <tableStyleElement dxfId="3" type="secondRowStripe"/>
    </tableStyle>
    <tableStyle count="3" pivot="0" name="DB - Lançamen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39" displayName="Table_1" name="Table_1" id="1">
  <tableColumns count="10">
    <tableColumn name="DATA" id="1"/>
    <tableColumn name="DIA SEMANA" id="2"/>
    <tableColumn name="INGRESSOS" id="3"/>
    <tableColumn name="GASTO" id="4"/>
    <tableColumn name="FATURAMENTO" id="5"/>
    <tableColumn name="CAC" id="6"/>
    <tableColumn name="ROAS" id="7"/>
    <tableColumn name="CAC LIMITE" id="8"/>
    <tableColumn name="SINAL" id="9"/>
    <tableColumn name="% LIMITE" id="10"/>
  </tableColumns>
  <tableStyleInfo name="Captação-style" showColumnStripes="0" showFirstColumn="1" showLastColumn="1" showRowStripes="1"/>
</table>
</file>

<file path=xl/tables/table2.xml><?xml version="1.0" encoding="utf-8"?>
<table xmlns="http://schemas.openxmlformats.org/spreadsheetml/2006/main" ref="A1:C19" displayName="Table_2" name="Table_2" id="2">
  <tableColumns count="3">
    <tableColumn name="DADOS" id="1"/>
    <tableColumn name="META" id="2"/>
    <tableColumn name="MÁXIMO" id="3"/>
  </tableColumns>
  <tableStyleInfo name="Calculadora CAC-style" showColumnStripes="0" showFirstColumn="1" showLastColumn="1" showRowStripes="1"/>
</table>
</file>

<file path=xl/tables/table3.xml><?xml version="1.0" encoding="utf-8"?>
<table xmlns="http://schemas.openxmlformats.org/spreadsheetml/2006/main" ref="A1:M8" displayName="Table_3" name="Table_3" id="3">
  <tableColumns count="13">
    <tableColumn name="Turma" id="1"/>
    <tableColumn name="Data Inicio de Captação" id="2"/>
    <tableColumn name="Fim da Captação" id="3"/>
    <tableColumn name="Data Inicio do Evento" id="4"/>
    <tableColumn name="Abertura de Carrinho" id="5"/>
    <tableColumn name="Aula 1" id="6"/>
    <tableColumn name="Aula 2" id="7"/>
    <tableColumn name="Aula 3" id="8"/>
    <tableColumn name="Aula 4" id="9"/>
    <tableColumn name="Aula 5" id="10"/>
    <tableColumn name="Aula 6" id="11"/>
    <tableColumn name="Playlist" id="12"/>
    <tableColumn name="Grupo" id="13"/>
  </tableColumns>
  <tableStyleInfo name="DB - Lança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edconcursos.com.br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edconcursos.com.br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medconcursos.com.br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7.13"/>
    <col customWidth="1" min="2" max="2" width="2.63"/>
    <col customWidth="1" min="3" max="8" width="12.63"/>
    <col customWidth="1" min="9" max="9" width="13.5"/>
    <col customWidth="1" min="10" max="10" width="12.63"/>
    <col customWidth="1" min="11" max="11" width="2.63"/>
    <col customWidth="1" min="12" max="17" width="17.63"/>
    <col customWidth="1" min="18" max="18" width="2.63"/>
    <col customWidth="1" min="19" max="32" width="12.63"/>
    <col customWidth="1" min="33" max="33" width="2.63"/>
    <col customWidth="1" min="34" max="45" width="12.63"/>
    <col customWidth="1" min="46" max="46" width="2.63"/>
    <col customWidth="1" min="47" max="47" width="16.63"/>
    <col customWidth="1" min="48" max="48" width="15.88"/>
    <col customWidth="1" min="49" max="50" width="12.63"/>
    <col customWidth="1" min="51" max="51" width="15.13"/>
    <col customWidth="1" min="52" max="53" width="12.63"/>
    <col customWidth="1" min="54" max="54" width="2.63"/>
    <col customWidth="1" min="55" max="59" width="12.63"/>
    <col customWidth="1" min="60" max="60" width="2.63"/>
  </cols>
  <sheetData>
    <row r="1">
      <c r="A1" s="1" t="s">
        <v>0</v>
      </c>
      <c r="B1" s="2"/>
      <c r="C1" s="3" t="s">
        <v>1</v>
      </c>
      <c r="K1" s="4"/>
      <c r="L1" s="3" t="s">
        <v>2</v>
      </c>
      <c r="R1" s="4"/>
      <c r="S1" s="5"/>
      <c r="T1" s="1" t="s">
        <v>3</v>
      </c>
      <c r="AG1" s="6"/>
      <c r="AH1" s="1" t="s">
        <v>4</v>
      </c>
      <c r="AT1" s="6"/>
      <c r="AU1" s="7" t="s">
        <v>5</v>
      </c>
      <c r="BB1" s="8"/>
      <c r="BC1" s="9" t="s">
        <v>6</v>
      </c>
      <c r="BE1" s="10" t="s">
        <v>7</v>
      </c>
      <c r="BG1" s="11">
        <v>0.1</v>
      </c>
      <c r="BH1" s="8"/>
    </row>
    <row r="2">
      <c r="B2" s="2"/>
      <c r="C2" s="12" t="s">
        <v>8</v>
      </c>
      <c r="D2" s="13" t="s">
        <v>9</v>
      </c>
      <c r="E2" s="14" t="s">
        <v>10</v>
      </c>
      <c r="F2" s="15" t="s">
        <v>11</v>
      </c>
      <c r="G2" s="12" t="s">
        <v>12</v>
      </c>
      <c r="H2" s="12" t="s">
        <v>13</v>
      </c>
      <c r="I2" s="16" t="s">
        <v>14</v>
      </c>
      <c r="J2" s="17" t="s">
        <v>15</v>
      </c>
      <c r="K2" s="4"/>
      <c r="L2" s="14" t="s">
        <v>16</v>
      </c>
      <c r="M2" s="18" t="s">
        <v>17</v>
      </c>
      <c r="N2" s="18" t="s">
        <v>18</v>
      </c>
      <c r="O2" s="18" t="s">
        <v>19</v>
      </c>
      <c r="P2" s="18" t="s">
        <v>20</v>
      </c>
      <c r="Q2" s="19" t="s">
        <v>21</v>
      </c>
      <c r="R2" s="4"/>
      <c r="S2" s="18" t="s">
        <v>22</v>
      </c>
      <c r="T2" s="13" t="s">
        <v>23</v>
      </c>
      <c r="U2" s="18" t="s">
        <v>24</v>
      </c>
      <c r="V2" s="13" t="s">
        <v>25</v>
      </c>
      <c r="W2" s="18" t="s">
        <v>26</v>
      </c>
      <c r="X2" s="13" t="s">
        <v>27</v>
      </c>
      <c r="Y2" s="18" t="s">
        <v>28</v>
      </c>
      <c r="Z2" s="13" t="s">
        <v>29</v>
      </c>
      <c r="AA2" s="18" t="s">
        <v>30</v>
      </c>
      <c r="AB2" s="13" t="s">
        <v>31</v>
      </c>
      <c r="AC2" s="19" t="s">
        <v>32</v>
      </c>
      <c r="AD2" s="13" t="s">
        <v>33</v>
      </c>
      <c r="AE2" s="18" t="s">
        <v>34</v>
      </c>
      <c r="AF2" s="13" t="s">
        <v>35</v>
      </c>
      <c r="AG2" s="6"/>
      <c r="AH2" s="18" t="s">
        <v>22</v>
      </c>
      <c r="AI2" s="13" t="s">
        <v>23</v>
      </c>
      <c r="AJ2" s="18" t="s">
        <v>24</v>
      </c>
      <c r="AK2" s="13" t="s">
        <v>25</v>
      </c>
      <c r="AL2" s="18" t="s">
        <v>26</v>
      </c>
      <c r="AM2" s="13" t="s">
        <v>27</v>
      </c>
      <c r="AN2" s="18" t="s">
        <v>28</v>
      </c>
      <c r="AO2" s="13" t="s">
        <v>29</v>
      </c>
      <c r="AP2" s="18" t="s">
        <v>30</v>
      </c>
      <c r="AQ2" s="13" t="s">
        <v>31</v>
      </c>
      <c r="AR2" s="18" t="s">
        <v>34</v>
      </c>
      <c r="AS2" s="13" t="s">
        <v>35</v>
      </c>
      <c r="AT2" s="6"/>
      <c r="AU2" s="20" t="s">
        <v>36</v>
      </c>
      <c r="AV2" s="21" t="s">
        <v>37</v>
      </c>
      <c r="AW2" s="22" t="s">
        <v>38</v>
      </c>
      <c r="AX2" s="19" t="s">
        <v>39</v>
      </c>
      <c r="AY2" s="19" t="s">
        <v>40</v>
      </c>
      <c r="AZ2" s="18" t="s">
        <v>41</v>
      </c>
      <c r="BA2" s="21" t="s">
        <v>42</v>
      </c>
      <c r="BB2" s="8"/>
      <c r="BC2" s="16" t="s">
        <v>43</v>
      </c>
      <c r="BD2" s="23" t="s">
        <v>44</v>
      </c>
      <c r="BE2" s="16" t="s">
        <v>45</v>
      </c>
      <c r="BF2" s="16" t="s">
        <v>46</v>
      </c>
      <c r="BG2" s="24" t="s">
        <v>47</v>
      </c>
      <c r="BH2" s="8"/>
    </row>
    <row r="3">
      <c r="A3" s="25" t="s">
        <v>48</v>
      </c>
      <c r="B3" s="26"/>
      <c r="C3" s="27">
        <v>62.0</v>
      </c>
      <c r="D3" s="28">
        <v>1000.0</v>
      </c>
      <c r="E3" s="29">
        <f t="shared" ref="E3:E51" si="1">IFERROR(G3/D3,0)</f>
        <v>49.6</v>
      </c>
      <c r="F3" s="30">
        <v>80.0</v>
      </c>
      <c r="G3" s="27">
        <f>H3/1.25</f>
        <v>49600</v>
      </c>
      <c r="H3" s="27">
        <f>D3*C3</f>
        <v>62000</v>
      </c>
      <c r="I3" s="31">
        <f t="shared" ref="I3:I43" si="2">H3-G3</f>
        <v>12400</v>
      </c>
      <c r="J3" s="32">
        <f t="shared" ref="J3:J51" si="3">IFERROR(H3/G3,0)</f>
        <v>1.25</v>
      </c>
      <c r="K3" s="26"/>
      <c r="L3" s="29">
        <f>C3/2</f>
        <v>31</v>
      </c>
      <c r="M3" s="33">
        <v>0.03</v>
      </c>
      <c r="N3" s="33">
        <v>0.92</v>
      </c>
      <c r="O3" s="33">
        <v>0.3</v>
      </c>
      <c r="P3" s="33">
        <v>0.2</v>
      </c>
      <c r="Q3" s="33">
        <v>0.05</v>
      </c>
      <c r="R3" s="26"/>
      <c r="S3" s="34">
        <f t="shared" ref="S3:S51" si="4">IFERROR(T3/D3,0)</f>
        <v>0.3</v>
      </c>
      <c r="T3" s="28">
        <v>300.0</v>
      </c>
      <c r="U3" s="34">
        <f t="shared" ref="U3:U51" si="5">IFERROR(V3/T3,0)</f>
        <v>0.7</v>
      </c>
      <c r="V3" s="28">
        <f>T3*0.7</f>
        <v>210</v>
      </c>
      <c r="W3" s="34">
        <f t="shared" ref="W3:W51" si="6">IFERROR(X3/V3,0)</f>
        <v>0.85</v>
      </c>
      <c r="X3" s="28">
        <f>V3*0.85</f>
        <v>178.5</v>
      </c>
      <c r="Y3" s="34">
        <f t="shared" ref="Y3:Y51" si="7">IFERROR(Z3/X3,0)</f>
        <v>0.85</v>
      </c>
      <c r="Z3" s="28">
        <f>X3*0.85</f>
        <v>151.725</v>
      </c>
      <c r="AA3" s="34">
        <f t="shared" ref="AA3:AA51" si="8">IFERROR(AB3/Z3,0)</f>
        <v>0.85</v>
      </c>
      <c r="AB3" s="28">
        <f>Z3*0.85</f>
        <v>128.96625</v>
      </c>
      <c r="AC3" s="34">
        <f t="shared" ref="AC3:AC51" si="9">IFERROR(AD3/AB3,0)</f>
        <v>0.7</v>
      </c>
      <c r="AD3" s="28">
        <f>AB3*0.7</f>
        <v>90.276375</v>
      </c>
      <c r="AE3" s="34">
        <f t="shared" ref="AE3:AE51" si="10">IFERROR(AF3/AB3,0)</f>
        <v>1.3</v>
      </c>
      <c r="AF3" s="28">
        <f>AB3*1.3</f>
        <v>167.656125</v>
      </c>
      <c r="AG3" s="26"/>
      <c r="AH3" s="34">
        <f t="shared" ref="AH3:AH51" si="11">IFERROR(AI3/D3,0)</f>
        <v>1</v>
      </c>
      <c r="AI3" s="28">
        <v>1000.0</v>
      </c>
      <c r="AJ3" s="34">
        <f t="shared" ref="AJ3:AJ51" si="12">IFERROR(AK3/AI3,0)</f>
        <v>0.7</v>
      </c>
      <c r="AK3" s="28">
        <f>AI3*0.7</f>
        <v>700</v>
      </c>
      <c r="AL3" s="34">
        <f t="shared" ref="AL3:AL51" si="13">IFERROR(AM3/AK3,0)</f>
        <v>0.85</v>
      </c>
      <c r="AM3" s="28">
        <f>AK3*0.85</f>
        <v>595</v>
      </c>
      <c r="AN3" s="34">
        <f t="shared" ref="AN3:AN51" si="14">IFERROR(AO3/AM3,0)</f>
        <v>0.85</v>
      </c>
      <c r="AO3" s="28">
        <f>AM3*0.85</f>
        <v>505.75</v>
      </c>
      <c r="AP3" s="34">
        <f t="shared" ref="AP3:AP51" si="15">IFERROR(AQ3/AO3,0)</f>
        <v>0.85</v>
      </c>
      <c r="AQ3" s="28">
        <f>AO3*0.85</f>
        <v>429.8875</v>
      </c>
      <c r="AR3" s="34">
        <f t="shared" ref="AR3:AR51" si="16">IFERROR(AS3/AQ3,0)</f>
        <v>0.85</v>
      </c>
      <c r="AS3" s="28">
        <f>AQ3*0.85</f>
        <v>365.404375</v>
      </c>
      <c r="AT3" s="26"/>
      <c r="AU3" s="35">
        <v>250.0</v>
      </c>
      <c r="AV3" s="33">
        <f t="shared" ref="AV3:AV51" si="17">IFERROR(AU3/D3,0)</f>
        <v>0.25</v>
      </c>
      <c r="AW3" s="36">
        <v>70.0</v>
      </c>
      <c r="AX3" s="34">
        <f t="shared" ref="AX3:AX51" si="18">IFERROR(AW3/D3,0)</f>
        <v>0.07</v>
      </c>
      <c r="AY3" s="33">
        <f t="shared" ref="AY3:AY51" si="19">IFERROR(AW3/AU3,0)</f>
        <v>0.28</v>
      </c>
      <c r="AZ3" s="34">
        <f t="shared" ref="AZ3:AZ51" si="20">IFERROR(AW3/T3,0)</f>
        <v>0.2333333333</v>
      </c>
      <c r="BA3" s="37">
        <f t="shared" ref="BA3:BA51" si="21">IFERROR(AW3/AF3,0)</f>
        <v>0.4175212805</v>
      </c>
      <c r="BB3" s="26"/>
      <c r="BC3" s="31">
        <f t="shared" ref="BC3:BC51" si="22">G3</f>
        <v>49600</v>
      </c>
      <c r="BD3" s="38">
        <v>150000.0</v>
      </c>
      <c r="BE3" s="31">
        <f t="shared" ref="BE3:BE51" si="23">BD3*$BG$1</f>
        <v>15000</v>
      </c>
      <c r="BF3" s="31">
        <f t="shared" ref="BF3:BF51" si="24">BD3-BC3-BE3</f>
        <v>85400</v>
      </c>
      <c r="BG3" s="39">
        <f t="shared" ref="BG3:BG51" si="25">IFERROR(BD3/BC3,0)</f>
        <v>3.024193548</v>
      </c>
      <c r="BH3" s="26"/>
    </row>
    <row r="4">
      <c r="A4" s="40"/>
      <c r="B4" s="26"/>
      <c r="C4" s="41"/>
      <c r="D4" s="42"/>
      <c r="E4" s="43">
        <f t="shared" si="1"/>
        <v>0</v>
      </c>
      <c r="F4" s="44"/>
      <c r="G4" s="41"/>
      <c r="H4" s="41"/>
      <c r="I4" s="45">
        <f t="shared" si="2"/>
        <v>0</v>
      </c>
      <c r="J4" s="46">
        <f t="shared" si="3"/>
        <v>0</v>
      </c>
      <c r="K4" s="26"/>
      <c r="L4" s="43"/>
      <c r="M4" s="47"/>
      <c r="N4" s="47"/>
      <c r="O4" s="47"/>
      <c r="P4" s="47"/>
      <c r="Q4" s="47"/>
      <c r="R4" s="26"/>
      <c r="S4" s="47">
        <f t="shared" si="4"/>
        <v>0</v>
      </c>
      <c r="T4" s="42"/>
      <c r="U4" s="47">
        <f t="shared" si="5"/>
        <v>0</v>
      </c>
      <c r="V4" s="42"/>
      <c r="W4" s="47">
        <f t="shared" si="6"/>
        <v>0</v>
      </c>
      <c r="X4" s="42"/>
      <c r="Y4" s="47">
        <f t="shared" si="7"/>
        <v>0</v>
      </c>
      <c r="Z4" s="42"/>
      <c r="AA4" s="47">
        <f t="shared" si="8"/>
        <v>0</v>
      </c>
      <c r="AB4" s="42"/>
      <c r="AC4" s="47">
        <f t="shared" si="9"/>
        <v>0</v>
      </c>
      <c r="AD4" s="42"/>
      <c r="AE4" s="47">
        <f t="shared" si="10"/>
        <v>0</v>
      </c>
      <c r="AF4" s="48"/>
      <c r="AG4" s="26"/>
      <c r="AH4" s="47">
        <f t="shared" si="11"/>
        <v>0</v>
      </c>
      <c r="AI4" s="48"/>
      <c r="AJ4" s="47">
        <f t="shared" si="12"/>
        <v>0</v>
      </c>
      <c r="AK4" s="48"/>
      <c r="AL4" s="47">
        <f t="shared" si="13"/>
        <v>0</v>
      </c>
      <c r="AM4" s="48"/>
      <c r="AN4" s="47">
        <f t="shared" si="14"/>
        <v>0</v>
      </c>
      <c r="AO4" s="48"/>
      <c r="AP4" s="47">
        <f t="shared" si="15"/>
        <v>0</v>
      </c>
      <c r="AQ4" s="48"/>
      <c r="AR4" s="47">
        <f t="shared" si="16"/>
        <v>0</v>
      </c>
      <c r="AS4" s="48"/>
      <c r="AT4" s="26"/>
      <c r="AU4" s="49"/>
      <c r="AV4" s="50">
        <f t="shared" si="17"/>
        <v>0</v>
      </c>
      <c r="AW4" s="51"/>
      <c r="AX4" s="47">
        <f t="shared" si="18"/>
        <v>0</v>
      </c>
      <c r="AY4" s="50">
        <f t="shared" si="19"/>
        <v>0</v>
      </c>
      <c r="AZ4" s="47">
        <f t="shared" si="20"/>
        <v>0</v>
      </c>
      <c r="BA4" s="52">
        <f t="shared" si="21"/>
        <v>0</v>
      </c>
      <c r="BB4" s="26"/>
      <c r="BC4" s="45" t="str">
        <f t="shared" si="22"/>
        <v/>
      </c>
      <c r="BD4" s="43"/>
      <c r="BE4" s="45">
        <f t="shared" si="23"/>
        <v>0</v>
      </c>
      <c r="BF4" s="45">
        <f t="shared" si="24"/>
        <v>0</v>
      </c>
      <c r="BG4" s="53">
        <f t="shared" si="25"/>
        <v>0</v>
      </c>
      <c r="BH4" s="26"/>
    </row>
    <row r="5">
      <c r="A5" s="25"/>
      <c r="B5" s="26"/>
      <c r="C5" s="27"/>
      <c r="D5" s="28"/>
      <c r="E5" s="29">
        <f t="shared" si="1"/>
        <v>0</v>
      </c>
      <c r="F5" s="32"/>
      <c r="G5" s="29"/>
      <c r="H5" s="29"/>
      <c r="I5" s="31">
        <f t="shared" si="2"/>
        <v>0</v>
      </c>
      <c r="J5" s="32">
        <f t="shared" si="3"/>
        <v>0</v>
      </c>
      <c r="K5" s="26"/>
      <c r="L5" s="29"/>
      <c r="M5" s="34"/>
      <c r="N5" s="34"/>
      <c r="O5" s="34"/>
      <c r="P5" s="34"/>
      <c r="Q5" s="34"/>
      <c r="R5" s="26"/>
      <c r="S5" s="34">
        <f t="shared" si="4"/>
        <v>0</v>
      </c>
      <c r="T5" s="28"/>
      <c r="U5" s="34">
        <f t="shared" si="5"/>
        <v>0</v>
      </c>
      <c r="V5" s="28"/>
      <c r="W5" s="34">
        <f t="shared" si="6"/>
        <v>0</v>
      </c>
      <c r="X5" s="54"/>
      <c r="Y5" s="34">
        <f t="shared" si="7"/>
        <v>0</v>
      </c>
      <c r="Z5" s="54"/>
      <c r="AA5" s="34">
        <f t="shared" si="8"/>
        <v>0</v>
      </c>
      <c r="AB5" s="54"/>
      <c r="AC5" s="34">
        <f t="shared" si="9"/>
        <v>0</v>
      </c>
      <c r="AD5" s="54"/>
      <c r="AE5" s="34">
        <f t="shared" si="10"/>
        <v>0</v>
      </c>
      <c r="AF5" s="54"/>
      <c r="AG5" s="26"/>
      <c r="AH5" s="34">
        <f t="shared" si="11"/>
        <v>0</v>
      </c>
      <c r="AI5" s="54"/>
      <c r="AJ5" s="34">
        <f t="shared" si="12"/>
        <v>0</v>
      </c>
      <c r="AK5" s="54"/>
      <c r="AL5" s="34">
        <f t="shared" si="13"/>
        <v>0</v>
      </c>
      <c r="AM5" s="54"/>
      <c r="AN5" s="34">
        <f t="shared" si="14"/>
        <v>0</v>
      </c>
      <c r="AO5" s="54"/>
      <c r="AP5" s="34">
        <f t="shared" si="15"/>
        <v>0</v>
      </c>
      <c r="AQ5" s="54"/>
      <c r="AR5" s="34">
        <f t="shared" si="16"/>
        <v>0</v>
      </c>
      <c r="AS5" s="54"/>
      <c r="AT5" s="26"/>
      <c r="AU5" s="55"/>
      <c r="AV5" s="33">
        <f t="shared" si="17"/>
        <v>0</v>
      </c>
      <c r="AW5" s="56"/>
      <c r="AX5" s="34">
        <f t="shared" si="18"/>
        <v>0</v>
      </c>
      <c r="AY5" s="33">
        <f t="shared" si="19"/>
        <v>0</v>
      </c>
      <c r="AZ5" s="34">
        <f t="shared" si="20"/>
        <v>0</v>
      </c>
      <c r="BA5" s="37">
        <f t="shared" si="21"/>
        <v>0</v>
      </c>
      <c r="BB5" s="26"/>
      <c r="BC5" s="31" t="str">
        <f t="shared" si="22"/>
        <v/>
      </c>
      <c r="BD5" s="29"/>
      <c r="BE5" s="31">
        <f t="shared" si="23"/>
        <v>0</v>
      </c>
      <c r="BF5" s="31">
        <f t="shared" si="24"/>
        <v>0</v>
      </c>
      <c r="BG5" s="39">
        <f t="shared" si="25"/>
        <v>0</v>
      </c>
      <c r="BH5" s="26"/>
    </row>
    <row r="6">
      <c r="A6" s="57"/>
      <c r="B6" s="26"/>
      <c r="C6" s="43"/>
      <c r="D6" s="48"/>
      <c r="E6" s="43">
        <f t="shared" si="1"/>
        <v>0</v>
      </c>
      <c r="F6" s="46"/>
      <c r="G6" s="43"/>
      <c r="H6" s="43"/>
      <c r="I6" s="45">
        <f t="shared" si="2"/>
        <v>0</v>
      </c>
      <c r="J6" s="46">
        <f t="shared" si="3"/>
        <v>0</v>
      </c>
      <c r="K6" s="26"/>
      <c r="L6" s="43"/>
      <c r="M6" s="47"/>
      <c r="N6" s="47"/>
      <c r="O6" s="47"/>
      <c r="P6" s="47"/>
      <c r="Q6" s="47"/>
      <c r="R6" s="26"/>
      <c r="S6" s="47">
        <f t="shared" si="4"/>
        <v>0</v>
      </c>
      <c r="T6" s="48"/>
      <c r="U6" s="47">
        <f t="shared" si="5"/>
        <v>0</v>
      </c>
      <c r="V6" s="48"/>
      <c r="W6" s="47">
        <f t="shared" si="6"/>
        <v>0</v>
      </c>
      <c r="X6" s="48"/>
      <c r="Y6" s="47">
        <f t="shared" si="7"/>
        <v>0</v>
      </c>
      <c r="Z6" s="48"/>
      <c r="AA6" s="47">
        <f t="shared" si="8"/>
        <v>0</v>
      </c>
      <c r="AB6" s="48"/>
      <c r="AC6" s="47">
        <f t="shared" si="9"/>
        <v>0</v>
      </c>
      <c r="AD6" s="48"/>
      <c r="AE6" s="47">
        <f t="shared" si="10"/>
        <v>0</v>
      </c>
      <c r="AF6" s="48"/>
      <c r="AG6" s="26"/>
      <c r="AH6" s="47">
        <f t="shared" si="11"/>
        <v>0</v>
      </c>
      <c r="AI6" s="48"/>
      <c r="AJ6" s="47">
        <f t="shared" si="12"/>
        <v>0</v>
      </c>
      <c r="AK6" s="48"/>
      <c r="AL6" s="47">
        <f t="shared" si="13"/>
        <v>0</v>
      </c>
      <c r="AM6" s="48"/>
      <c r="AN6" s="47">
        <f t="shared" si="14"/>
        <v>0</v>
      </c>
      <c r="AO6" s="48"/>
      <c r="AP6" s="47">
        <f t="shared" si="15"/>
        <v>0</v>
      </c>
      <c r="AQ6" s="48"/>
      <c r="AR6" s="47">
        <f t="shared" si="16"/>
        <v>0</v>
      </c>
      <c r="AS6" s="48"/>
      <c r="AT6" s="26"/>
      <c r="AU6" s="49"/>
      <c r="AV6" s="50">
        <f t="shared" si="17"/>
        <v>0</v>
      </c>
      <c r="AW6" s="51"/>
      <c r="AX6" s="47">
        <f t="shared" si="18"/>
        <v>0</v>
      </c>
      <c r="AY6" s="50">
        <f t="shared" si="19"/>
        <v>0</v>
      </c>
      <c r="AZ6" s="47">
        <f t="shared" si="20"/>
        <v>0</v>
      </c>
      <c r="BA6" s="52">
        <f t="shared" si="21"/>
        <v>0</v>
      </c>
      <c r="BB6" s="26"/>
      <c r="BC6" s="45" t="str">
        <f t="shared" si="22"/>
        <v/>
      </c>
      <c r="BD6" s="43"/>
      <c r="BE6" s="45">
        <f t="shared" si="23"/>
        <v>0</v>
      </c>
      <c r="BF6" s="45">
        <f t="shared" si="24"/>
        <v>0</v>
      </c>
      <c r="BG6" s="53">
        <f t="shared" si="25"/>
        <v>0</v>
      </c>
      <c r="BH6" s="26"/>
    </row>
    <row r="7">
      <c r="A7" s="58"/>
      <c r="B7" s="26"/>
      <c r="C7" s="29"/>
      <c r="D7" s="54"/>
      <c r="E7" s="29">
        <f t="shared" si="1"/>
        <v>0</v>
      </c>
      <c r="F7" s="32"/>
      <c r="G7" s="29"/>
      <c r="H7" s="29"/>
      <c r="I7" s="31">
        <f t="shared" si="2"/>
        <v>0</v>
      </c>
      <c r="J7" s="32">
        <f t="shared" si="3"/>
        <v>0</v>
      </c>
      <c r="K7" s="26"/>
      <c r="L7" s="29"/>
      <c r="M7" s="34"/>
      <c r="N7" s="34"/>
      <c r="O7" s="34"/>
      <c r="P7" s="34"/>
      <c r="Q7" s="34"/>
      <c r="R7" s="26"/>
      <c r="S7" s="34">
        <f t="shared" si="4"/>
        <v>0</v>
      </c>
      <c r="T7" s="54"/>
      <c r="U7" s="34">
        <f t="shared" si="5"/>
        <v>0</v>
      </c>
      <c r="V7" s="54"/>
      <c r="W7" s="34">
        <f t="shared" si="6"/>
        <v>0</v>
      </c>
      <c r="X7" s="54"/>
      <c r="Y7" s="34">
        <f t="shared" si="7"/>
        <v>0</v>
      </c>
      <c r="Z7" s="54"/>
      <c r="AA7" s="34">
        <f t="shared" si="8"/>
        <v>0</v>
      </c>
      <c r="AB7" s="54"/>
      <c r="AC7" s="34">
        <f t="shared" si="9"/>
        <v>0</v>
      </c>
      <c r="AD7" s="54"/>
      <c r="AE7" s="34">
        <f t="shared" si="10"/>
        <v>0</v>
      </c>
      <c r="AF7" s="54"/>
      <c r="AG7" s="26"/>
      <c r="AH7" s="34">
        <f t="shared" si="11"/>
        <v>0</v>
      </c>
      <c r="AI7" s="54"/>
      <c r="AJ7" s="34">
        <f t="shared" si="12"/>
        <v>0</v>
      </c>
      <c r="AK7" s="54"/>
      <c r="AL7" s="34">
        <f t="shared" si="13"/>
        <v>0</v>
      </c>
      <c r="AM7" s="54"/>
      <c r="AN7" s="34">
        <f t="shared" si="14"/>
        <v>0</v>
      </c>
      <c r="AO7" s="54"/>
      <c r="AP7" s="34">
        <f t="shared" si="15"/>
        <v>0</v>
      </c>
      <c r="AQ7" s="54"/>
      <c r="AR7" s="34">
        <f t="shared" si="16"/>
        <v>0</v>
      </c>
      <c r="AS7" s="54"/>
      <c r="AT7" s="26"/>
      <c r="AU7" s="59"/>
      <c r="AV7" s="33">
        <f t="shared" si="17"/>
        <v>0</v>
      </c>
      <c r="AW7" s="56"/>
      <c r="AX7" s="34">
        <f t="shared" si="18"/>
        <v>0</v>
      </c>
      <c r="AY7" s="33">
        <f t="shared" si="19"/>
        <v>0</v>
      </c>
      <c r="AZ7" s="34">
        <f t="shared" si="20"/>
        <v>0</v>
      </c>
      <c r="BA7" s="37">
        <f t="shared" si="21"/>
        <v>0</v>
      </c>
      <c r="BB7" s="26"/>
      <c r="BC7" s="31" t="str">
        <f t="shared" si="22"/>
        <v/>
      </c>
      <c r="BD7" s="29"/>
      <c r="BE7" s="31">
        <f t="shared" si="23"/>
        <v>0</v>
      </c>
      <c r="BF7" s="31">
        <f t="shared" si="24"/>
        <v>0</v>
      </c>
      <c r="BG7" s="39">
        <f t="shared" si="25"/>
        <v>0</v>
      </c>
      <c r="BH7" s="26"/>
    </row>
    <row r="8">
      <c r="A8" s="57"/>
      <c r="B8" s="26"/>
      <c r="C8" s="43"/>
      <c r="D8" s="48"/>
      <c r="E8" s="43">
        <f t="shared" si="1"/>
        <v>0</v>
      </c>
      <c r="F8" s="46"/>
      <c r="G8" s="43"/>
      <c r="H8" s="43"/>
      <c r="I8" s="45">
        <f t="shared" si="2"/>
        <v>0</v>
      </c>
      <c r="J8" s="46">
        <f t="shared" si="3"/>
        <v>0</v>
      </c>
      <c r="K8" s="26"/>
      <c r="L8" s="43"/>
      <c r="M8" s="47"/>
      <c r="N8" s="47"/>
      <c r="O8" s="47"/>
      <c r="P8" s="47"/>
      <c r="Q8" s="47"/>
      <c r="R8" s="26"/>
      <c r="S8" s="47">
        <f t="shared" si="4"/>
        <v>0</v>
      </c>
      <c r="T8" s="48"/>
      <c r="U8" s="47">
        <f t="shared" si="5"/>
        <v>0</v>
      </c>
      <c r="V8" s="48"/>
      <c r="W8" s="47">
        <f t="shared" si="6"/>
        <v>0</v>
      </c>
      <c r="X8" s="48"/>
      <c r="Y8" s="47">
        <f t="shared" si="7"/>
        <v>0</v>
      </c>
      <c r="Z8" s="48"/>
      <c r="AA8" s="47">
        <f t="shared" si="8"/>
        <v>0</v>
      </c>
      <c r="AB8" s="48"/>
      <c r="AC8" s="47">
        <f t="shared" si="9"/>
        <v>0</v>
      </c>
      <c r="AD8" s="48"/>
      <c r="AE8" s="47">
        <f t="shared" si="10"/>
        <v>0</v>
      </c>
      <c r="AF8" s="48"/>
      <c r="AG8" s="26"/>
      <c r="AH8" s="47">
        <f t="shared" si="11"/>
        <v>0</v>
      </c>
      <c r="AI8" s="48"/>
      <c r="AJ8" s="47">
        <f t="shared" si="12"/>
        <v>0</v>
      </c>
      <c r="AK8" s="48"/>
      <c r="AL8" s="47">
        <f t="shared" si="13"/>
        <v>0</v>
      </c>
      <c r="AM8" s="48"/>
      <c r="AN8" s="47">
        <f t="shared" si="14"/>
        <v>0</v>
      </c>
      <c r="AO8" s="48"/>
      <c r="AP8" s="47">
        <f t="shared" si="15"/>
        <v>0</v>
      </c>
      <c r="AQ8" s="48"/>
      <c r="AR8" s="47">
        <f t="shared" si="16"/>
        <v>0</v>
      </c>
      <c r="AS8" s="48"/>
      <c r="AT8" s="26"/>
      <c r="AU8" s="60"/>
      <c r="AV8" s="50">
        <f t="shared" si="17"/>
        <v>0</v>
      </c>
      <c r="AW8" s="51"/>
      <c r="AX8" s="47">
        <f t="shared" si="18"/>
        <v>0</v>
      </c>
      <c r="AY8" s="50">
        <f t="shared" si="19"/>
        <v>0</v>
      </c>
      <c r="AZ8" s="47">
        <f t="shared" si="20"/>
        <v>0</v>
      </c>
      <c r="BA8" s="52">
        <f t="shared" si="21"/>
        <v>0</v>
      </c>
      <c r="BB8" s="26"/>
      <c r="BC8" s="45" t="str">
        <f t="shared" si="22"/>
        <v/>
      </c>
      <c r="BD8" s="43"/>
      <c r="BE8" s="45">
        <f t="shared" si="23"/>
        <v>0</v>
      </c>
      <c r="BF8" s="45">
        <f t="shared" si="24"/>
        <v>0</v>
      </c>
      <c r="BG8" s="53">
        <f t="shared" si="25"/>
        <v>0</v>
      </c>
      <c r="BH8" s="26"/>
    </row>
    <row r="9">
      <c r="A9" s="58"/>
      <c r="B9" s="26"/>
      <c r="C9" s="29"/>
      <c r="D9" s="54"/>
      <c r="E9" s="29">
        <f t="shared" si="1"/>
        <v>0</v>
      </c>
      <c r="F9" s="32"/>
      <c r="G9" s="29"/>
      <c r="H9" s="29"/>
      <c r="I9" s="31">
        <f t="shared" si="2"/>
        <v>0</v>
      </c>
      <c r="J9" s="32">
        <f t="shared" si="3"/>
        <v>0</v>
      </c>
      <c r="K9" s="26"/>
      <c r="L9" s="29"/>
      <c r="M9" s="34"/>
      <c r="N9" s="34"/>
      <c r="O9" s="34"/>
      <c r="P9" s="34"/>
      <c r="Q9" s="34"/>
      <c r="R9" s="26"/>
      <c r="S9" s="34">
        <f t="shared" si="4"/>
        <v>0</v>
      </c>
      <c r="T9" s="54"/>
      <c r="U9" s="34">
        <f t="shared" si="5"/>
        <v>0</v>
      </c>
      <c r="V9" s="54"/>
      <c r="W9" s="34">
        <f t="shared" si="6"/>
        <v>0</v>
      </c>
      <c r="X9" s="54"/>
      <c r="Y9" s="34">
        <f t="shared" si="7"/>
        <v>0</v>
      </c>
      <c r="Z9" s="54"/>
      <c r="AA9" s="34">
        <f t="shared" si="8"/>
        <v>0</v>
      </c>
      <c r="AB9" s="54"/>
      <c r="AC9" s="34">
        <f t="shared" si="9"/>
        <v>0</v>
      </c>
      <c r="AD9" s="54"/>
      <c r="AE9" s="34">
        <f t="shared" si="10"/>
        <v>0</v>
      </c>
      <c r="AF9" s="54"/>
      <c r="AG9" s="26"/>
      <c r="AH9" s="34">
        <f t="shared" si="11"/>
        <v>0</v>
      </c>
      <c r="AI9" s="54"/>
      <c r="AJ9" s="34">
        <f t="shared" si="12"/>
        <v>0</v>
      </c>
      <c r="AK9" s="54"/>
      <c r="AL9" s="34">
        <f t="shared" si="13"/>
        <v>0</v>
      </c>
      <c r="AM9" s="54"/>
      <c r="AN9" s="34">
        <f t="shared" si="14"/>
        <v>0</v>
      </c>
      <c r="AO9" s="54"/>
      <c r="AP9" s="34">
        <f t="shared" si="15"/>
        <v>0</v>
      </c>
      <c r="AQ9" s="54"/>
      <c r="AR9" s="34">
        <f t="shared" si="16"/>
        <v>0</v>
      </c>
      <c r="AS9" s="54"/>
      <c r="AT9" s="26"/>
      <c r="AU9" s="59"/>
      <c r="AV9" s="33">
        <f t="shared" si="17"/>
        <v>0</v>
      </c>
      <c r="AW9" s="56"/>
      <c r="AX9" s="34">
        <f t="shared" si="18"/>
        <v>0</v>
      </c>
      <c r="AY9" s="33">
        <f t="shared" si="19"/>
        <v>0</v>
      </c>
      <c r="AZ9" s="34">
        <f t="shared" si="20"/>
        <v>0</v>
      </c>
      <c r="BA9" s="37">
        <f t="shared" si="21"/>
        <v>0</v>
      </c>
      <c r="BB9" s="26"/>
      <c r="BC9" s="31" t="str">
        <f t="shared" si="22"/>
        <v/>
      </c>
      <c r="BD9" s="29"/>
      <c r="BE9" s="31">
        <f t="shared" si="23"/>
        <v>0</v>
      </c>
      <c r="BF9" s="31">
        <f t="shared" si="24"/>
        <v>0</v>
      </c>
      <c r="BG9" s="39">
        <f t="shared" si="25"/>
        <v>0</v>
      </c>
      <c r="BH9" s="26"/>
    </row>
    <row r="10">
      <c r="A10" s="57"/>
      <c r="B10" s="26"/>
      <c r="C10" s="43"/>
      <c r="D10" s="48"/>
      <c r="E10" s="43">
        <f t="shared" si="1"/>
        <v>0</v>
      </c>
      <c r="F10" s="46"/>
      <c r="G10" s="43"/>
      <c r="H10" s="43"/>
      <c r="I10" s="45">
        <f t="shared" si="2"/>
        <v>0</v>
      </c>
      <c r="J10" s="46">
        <f t="shared" si="3"/>
        <v>0</v>
      </c>
      <c r="K10" s="26"/>
      <c r="L10" s="43"/>
      <c r="M10" s="47"/>
      <c r="N10" s="47"/>
      <c r="O10" s="47"/>
      <c r="P10" s="47"/>
      <c r="Q10" s="47"/>
      <c r="R10" s="26"/>
      <c r="S10" s="47">
        <f t="shared" si="4"/>
        <v>0</v>
      </c>
      <c r="T10" s="48"/>
      <c r="U10" s="47">
        <f t="shared" si="5"/>
        <v>0</v>
      </c>
      <c r="V10" s="48"/>
      <c r="W10" s="47">
        <f t="shared" si="6"/>
        <v>0</v>
      </c>
      <c r="X10" s="48"/>
      <c r="Y10" s="47">
        <f t="shared" si="7"/>
        <v>0</v>
      </c>
      <c r="Z10" s="48"/>
      <c r="AA10" s="47">
        <f t="shared" si="8"/>
        <v>0</v>
      </c>
      <c r="AB10" s="48"/>
      <c r="AC10" s="47">
        <f t="shared" si="9"/>
        <v>0</v>
      </c>
      <c r="AD10" s="48"/>
      <c r="AE10" s="47">
        <f t="shared" si="10"/>
        <v>0</v>
      </c>
      <c r="AF10" s="48"/>
      <c r="AG10" s="26"/>
      <c r="AH10" s="47">
        <f t="shared" si="11"/>
        <v>0</v>
      </c>
      <c r="AI10" s="48"/>
      <c r="AJ10" s="47">
        <f t="shared" si="12"/>
        <v>0</v>
      </c>
      <c r="AK10" s="48"/>
      <c r="AL10" s="47">
        <f t="shared" si="13"/>
        <v>0</v>
      </c>
      <c r="AM10" s="48"/>
      <c r="AN10" s="47">
        <f t="shared" si="14"/>
        <v>0</v>
      </c>
      <c r="AO10" s="48"/>
      <c r="AP10" s="47">
        <f t="shared" si="15"/>
        <v>0</v>
      </c>
      <c r="AQ10" s="48"/>
      <c r="AR10" s="47">
        <f t="shared" si="16"/>
        <v>0</v>
      </c>
      <c r="AS10" s="48"/>
      <c r="AT10" s="26"/>
      <c r="AU10" s="60"/>
      <c r="AV10" s="50">
        <f t="shared" si="17"/>
        <v>0</v>
      </c>
      <c r="AW10" s="51"/>
      <c r="AX10" s="47">
        <f t="shared" si="18"/>
        <v>0</v>
      </c>
      <c r="AY10" s="50">
        <f t="shared" si="19"/>
        <v>0</v>
      </c>
      <c r="AZ10" s="47">
        <f t="shared" si="20"/>
        <v>0</v>
      </c>
      <c r="BA10" s="52">
        <f t="shared" si="21"/>
        <v>0</v>
      </c>
      <c r="BB10" s="26"/>
      <c r="BC10" s="45" t="str">
        <f t="shared" si="22"/>
        <v/>
      </c>
      <c r="BD10" s="43"/>
      <c r="BE10" s="45">
        <f t="shared" si="23"/>
        <v>0</v>
      </c>
      <c r="BF10" s="45">
        <f t="shared" si="24"/>
        <v>0</v>
      </c>
      <c r="BG10" s="53">
        <f t="shared" si="25"/>
        <v>0</v>
      </c>
      <c r="BH10" s="26"/>
    </row>
    <row r="11">
      <c r="A11" s="58"/>
      <c r="B11" s="26"/>
      <c r="C11" s="29"/>
      <c r="D11" s="54"/>
      <c r="E11" s="29">
        <f t="shared" si="1"/>
        <v>0</v>
      </c>
      <c r="F11" s="32"/>
      <c r="G11" s="29"/>
      <c r="H11" s="29"/>
      <c r="I11" s="31">
        <f t="shared" si="2"/>
        <v>0</v>
      </c>
      <c r="J11" s="32">
        <f t="shared" si="3"/>
        <v>0</v>
      </c>
      <c r="K11" s="26"/>
      <c r="L11" s="29"/>
      <c r="M11" s="34"/>
      <c r="N11" s="34"/>
      <c r="O11" s="34"/>
      <c r="P11" s="34"/>
      <c r="Q11" s="34"/>
      <c r="R11" s="26"/>
      <c r="S11" s="34">
        <f t="shared" si="4"/>
        <v>0</v>
      </c>
      <c r="T11" s="54"/>
      <c r="U11" s="34">
        <f t="shared" si="5"/>
        <v>0</v>
      </c>
      <c r="V11" s="54"/>
      <c r="W11" s="34">
        <f t="shared" si="6"/>
        <v>0</v>
      </c>
      <c r="X11" s="54"/>
      <c r="Y11" s="34">
        <f t="shared" si="7"/>
        <v>0</v>
      </c>
      <c r="Z11" s="54"/>
      <c r="AA11" s="34">
        <f t="shared" si="8"/>
        <v>0</v>
      </c>
      <c r="AB11" s="54"/>
      <c r="AC11" s="34">
        <f t="shared" si="9"/>
        <v>0</v>
      </c>
      <c r="AD11" s="54"/>
      <c r="AE11" s="34">
        <f t="shared" si="10"/>
        <v>0</v>
      </c>
      <c r="AF11" s="54"/>
      <c r="AG11" s="26"/>
      <c r="AH11" s="34">
        <f t="shared" si="11"/>
        <v>0</v>
      </c>
      <c r="AI11" s="54"/>
      <c r="AJ11" s="34">
        <f t="shared" si="12"/>
        <v>0</v>
      </c>
      <c r="AK11" s="54"/>
      <c r="AL11" s="34">
        <f t="shared" si="13"/>
        <v>0</v>
      </c>
      <c r="AM11" s="54"/>
      <c r="AN11" s="34">
        <f t="shared" si="14"/>
        <v>0</v>
      </c>
      <c r="AO11" s="54"/>
      <c r="AP11" s="34">
        <f t="shared" si="15"/>
        <v>0</v>
      </c>
      <c r="AQ11" s="54"/>
      <c r="AR11" s="34">
        <f t="shared" si="16"/>
        <v>0</v>
      </c>
      <c r="AS11" s="54"/>
      <c r="AT11" s="26"/>
      <c r="AU11" s="59"/>
      <c r="AV11" s="33">
        <f t="shared" si="17"/>
        <v>0</v>
      </c>
      <c r="AW11" s="56"/>
      <c r="AX11" s="34">
        <f t="shared" si="18"/>
        <v>0</v>
      </c>
      <c r="AY11" s="33">
        <f t="shared" si="19"/>
        <v>0</v>
      </c>
      <c r="AZ11" s="34">
        <f t="shared" si="20"/>
        <v>0</v>
      </c>
      <c r="BA11" s="37">
        <f t="shared" si="21"/>
        <v>0</v>
      </c>
      <c r="BB11" s="26"/>
      <c r="BC11" s="31" t="str">
        <f t="shared" si="22"/>
        <v/>
      </c>
      <c r="BD11" s="29"/>
      <c r="BE11" s="31">
        <f t="shared" si="23"/>
        <v>0</v>
      </c>
      <c r="BF11" s="31">
        <f t="shared" si="24"/>
        <v>0</v>
      </c>
      <c r="BG11" s="39">
        <f t="shared" si="25"/>
        <v>0</v>
      </c>
      <c r="BH11" s="26"/>
    </row>
    <row r="12">
      <c r="A12" s="57"/>
      <c r="B12" s="26"/>
      <c r="C12" s="43"/>
      <c r="D12" s="48"/>
      <c r="E12" s="43">
        <f t="shared" si="1"/>
        <v>0</v>
      </c>
      <c r="F12" s="46"/>
      <c r="G12" s="43"/>
      <c r="H12" s="43"/>
      <c r="I12" s="45">
        <f t="shared" si="2"/>
        <v>0</v>
      </c>
      <c r="J12" s="46">
        <f t="shared" si="3"/>
        <v>0</v>
      </c>
      <c r="K12" s="26"/>
      <c r="L12" s="43"/>
      <c r="M12" s="47"/>
      <c r="N12" s="47"/>
      <c r="O12" s="47"/>
      <c r="P12" s="47"/>
      <c r="Q12" s="47"/>
      <c r="R12" s="26"/>
      <c r="S12" s="47">
        <f t="shared" si="4"/>
        <v>0</v>
      </c>
      <c r="T12" s="48"/>
      <c r="U12" s="47">
        <f t="shared" si="5"/>
        <v>0</v>
      </c>
      <c r="V12" s="48"/>
      <c r="W12" s="47">
        <f t="shared" si="6"/>
        <v>0</v>
      </c>
      <c r="X12" s="48"/>
      <c r="Y12" s="47">
        <f t="shared" si="7"/>
        <v>0</v>
      </c>
      <c r="Z12" s="48"/>
      <c r="AA12" s="47">
        <f t="shared" si="8"/>
        <v>0</v>
      </c>
      <c r="AB12" s="48"/>
      <c r="AC12" s="47">
        <f t="shared" si="9"/>
        <v>0</v>
      </c>
      <c r="AD12" s="48"/>
      <c r="AE12" s="47">
        <f t="shared" si="10"/>
        <v>0</v>
      </c>
      <c r="AF12" s="48"/>
      <c r="AG12" s="26"/>
      <c r="AH12" s="47">
        <f t="shared" si="11"/>
        <v>0</v>
      </c>
      <c r="AI12" s="48"/>
      <c r="AJ12" s="47">
        <f t="shared" si="12"/>
        <v>0</v>
      </c>
      <c r="AK12" s="48"/>
      <c r="AL12" s="47">
        <f t="shared" si="13"/>
        <v>0</v>
      </c>
      <c r="AM12" s="48"/>
      <c r="AN12" s="47">
        <f t="shared" si="14"/>
        <v>0</v>
      </c>
      <c r="AO12" s="48"/>
      <c r="AP12" s="47">
        <f t="shared" si="15"/>
        <v>0</v>
      </c>
      <c r="AQ12" s="48"/>
      <c r="AR12" s="47">
        <f t="shared" si="16"/>
        <v>0</v>
      </c>
      <c r="AS12" s="48"/>
      <c r="AT12" s="26"/>
      <c r="AU12" s="60"/>
      <c r="AV12" s="50">
        <f t="shared" si="17"/>
        <v>0</v>
      </c>
      <c r="AW12" s="51"/>
      <c r="AX12" s="47">
        <f t="shared" si="18"/>
        <v>0</v>
      </c>
      <c r="AY12" s="50">
        <f t="shared" si="19"/>
        <v>0</v>
      </c>
      <c r="AZ12" s="47">
        <f t="shared" si="20"/>
        <v>0</v>
      </c>
      <c r="BA12" s="52">
        <f t="shared" si="21"/>
        <v>0</v>
      </c>
      <c r="BB12" s="26"/>
      <c r="BC12" s="45" t="str">
        <f t="shared" si="22"/>
        <v/>
      </c>
      <c r="BD12" s="43"/>
      <c r="BE12" s="45">
        <f t="shared" si="23"/>
        <v>0</v>
      </c>
      <c r="BF12" s="45">
        <f t="shared" si="24"/>
        <v>0</v>
      </c>
      <c r="BG12" s="53">
        <f t="shared" si="25"/>
        <v>0</v>
      </c>
      <c r="BH12" s="26"/>
    </row>
    <row r="13">
      <c r="A13" s="58"/>
      <c r="B13" s="26"/>
      <c r="C13" s="29"/>
      <c r="D13" s="54"/>
      <c r="E13" s="29">
        <f t="shared" si="1"/>
        <v>0</v>
      </c>
      <c r="F13" s="32"/>
      <c r="G13" s="29"/>
      <c r="H13" s="29"/>
      <c r="I13" s="31">
        <f t="shared" si="2"/>
        <v>0</v>
      </c>
      <c r="J13" s="32">
        <f t="shared" si="3"/>
        <v>0</v>
      </c>
      <c r="K13" s="26"/>
      <c r="L13" s="29"/>
      <c r="M13" s="34"/>
      <c r="N13" s="34"/>
      <c r="O13" s="34"/>
      <c r="P13" s="34"/>
      <c r="Q13" s="34"/>
      <c r="R13" s="26"/>
      <c r="S13" s="34">
        <f t="shared" si="4"/>
        <v>0</v>
      </c>
      <c r="T13" s="54"/>
      <c r="U13" s="34">
        <f t="shared" si="5"/>
        <v>0</v>
      </c>
      <c r="V13" s="54"/>
      <c r="W13" s="34">
        <f t="shared" si="6"/>
        <v>0</v>
      </c>
      <c r="X13" s="54"/>
      <c r="Y13" s="34">
        <f t="shared" si="7"/>
        <v>0</v>
      </c>
      <c r="Z13" s="54"/>
      <c r="AA13" s="34">
        <f t="shared" si="8"/>
        <v>0</v>
      </c>
      <c r="AB13" s="54"/>
      <c r="AC13" s="34">
        <f t="shared" si="9"/>
        <v>0</v>
      </c>
      <c r="AD13" s="54"/>
      <c r="AE13" s="34">
        <f t="shared" si="10"/>
        <v>0</v>
      </c>
      <c r="AF13" s="54"/>
      <c r="AG13" s="26"/>
      <c r="AH13" s="34">
        <f t="shared" si="11"/>
        <v>0</v>
      </c>
      <c r="AI13" s="54"/>
      <c r="AJ13" s="34">
        <f t="shared" si="12"/>
        <v>0</v>
      </c>
      <c r="AK13" s="54"/>
      <c r="AL13" s="34">
        <f t="shared" si="13"/>
        <v>0</v>
      </c>
      <c r="AM13" s="54"/>
      <c r="AN13" s="34">
        <f t="shared" si="14"/>
        <v>0</v>
      </c>
      <c r="AO13" s="54"/>
      <c r="AP13" s="34">
        <f t="shared" si="15"/>
        <v>0</v>
      </c>
      <c r="AQ13" s="54"/>
      <c r="AR13" s="34">
        <f t="shared" si="16"/>
        <v>0</v>
      </c>
      <c r="AS13" s="54"/>
      <c r="AT13" s="26"/>
      <c r="AU13" s="59"/>
      <c r="AV13" s="33">
        <f t="shared" si="17"/>
        <v>0</v>
      </c>
      <c r="AW13" s="56"/>
      <c r="AX13" s="34">
        <f t="shared" si="18"/>
        <v>0</v>
      </c>
      <c r="AY13" s="33">
        <f t="shared" si="19"/>
        <v>0</v>
      </c>
      <c r="AZ13" s="34">
        <f t="shared" si="20"/>
        <v>0</v>
      </c>
      <c r="BA13" s="37">
        <f t="shared" si="21"/>
        <v>0</v>
      </c>
      <c r="BB13" s="26"/>
      <c r="BC13" s="31" t="str">
        <f t="shared" si="22"/>
        <v/>
      </c>
      <c r="BD13" s="29"/>
      <c r="BE13" s="31">
        <f t="shared" si="23"/>
        <v>0</v>
      </c>
      <c r="BF13" s="31">
        <f t="shared" si="24"/>
        <v>0</v>
      </c>
      <c r="BG13" s="39">
        <f t="shared" si="25"/>
        <v>0</v>
      </c>
      <c r="BH13" s="26"/>
    </row>
    <row r="14">
      <c r="A14" s="57"/>
      <c r="B14" s="26"/>
      <c r="C14" s="43"/>
      <c r="D14" s="48"/>
      <c r="E14" s="43">
        <f t="shared" si="1"/>
        <v>0</v>
      </c>
      <c r="F14" s="46"/>
      <c r="G14" s="43"/>
      <c r="H14" s="43"/>
      <c r="I14" s="45">
        <f t="shared" si="2"/>
        <v>0</v>
      </c>
      <c r="J14" s="46">
        <f t="shared" si="3"/>
        <v>0</v>
      </c>
      <c r="K14" s="26"/>
      <c r="L14" s="43"/>
      <c r="M14" s="47"/>
      <c r="N14" s="47"/>
      <c r="O14" s="47"/>
      <c r="P14" s="47"/>
      <c r="Q14" s="47"/>
      <c r="R14" s="26"/>
      <c r="S14" s="47">
        <f t="shared" si="4"/>
        <v>0</v>
      </c>
      <c r="T14" s="48"/>
      <c r="U14" s="47">
        <f t="shared" si="5"/>
        <v>0</v>
      </c>
      <c r="V14" s="48"/>
      <c r="W14" s="47">
        <f t="shared" si="6"/>
        <v>0</v>
      </c>
      <c r="X14" s="48"/>
      <c r="Y14" s="47">
        <f t="shared" si="7"/>
        <v>0</v>
      </c>
      <c r="Z14" s="48"/>
      <c r="AA14" s="47">
        <f t="shared" si="8"/>
        <v>0</v>
      </c>
      <c r="AB14" s="48"/>
      <c r="AC14" s="47">
        <f t="shared" si="9"/>
        <v>0</v>
      </c>
      <c r="AD14" s="48"/>
      <c r="AE14" s="47">
        <f t="shared" si="10"/>
        <v>0</v>
      </c>
      <c r="AF14" s="48"/>
      <c r="AG14" s="26"/>
      <c r="AH14" s="47">
        <f t="shared" si="11"/>
        <v>0</v>
      </c>
      <c r="AI14" s="48"/>
      <c r="AJ14" s="47">
        <f t="shared" si="12"/>
        <v>0</v>
      </c>
      <c r="AK14" s="48"/>
      <c r="AL14" s="47">
        <f t="shared" si="13"/>
        <v>0</v>
      </c>
      <c r="AM14" s="48"/>
      <c r="AN14" s="47">
        <f t="shared" si="14"/>
        <v>0</v>
      </c>
      <c r="AO14" s="48"/>
      <c r="AP14" s="47">
        <f t="shared" si="15"/>
        <v>0</v>
      </c>
      <c r="AQ14" s="48"/>
      <c r="AR14" s="47">
        <f t="shared" si="16"/>
        <v>0</v>
      </c>
      <c r="AS14" s="48"/>
      <c r="AT14" s="26"/>
      <c r="AU14" s="60"/>
      <c r="AV14" s="50">
        <f t="shared" si="17"/>
        <v>0</v>
      </c>
      <c r="AW14" s="51"/>
      <c r="AX14" s="47">
        <f t="shared" si="18"/>
        <v>0</v>
      </c>
      <c r="AY14" s="50">
        <f t="shared" si="19"/>
        <v>0</v>
      </c>
      <c r="AZ14" s="47">
        <f t="shared" si="20"/>
        <v>0</v>
      </c>
      <c r="BA14" s="52">
        <f t="shared" si="21"/>
        <v>0</v>
      </c>
      <c r="BB14" s="26"/>
      <c r="BC14" s="45" t="str">
        <f t="shared" si="22"/>
        <v/>
      </c>
      <c r="BD14" s="43"/>
      <c r="BE14" s="45">
        <f t="shared" si="23"/>
        <v>0</v>
      </c>
      <c r="BF14" s="45">
        <f t="shared" si="24"/>
        <v>0</v>
      </c>
      <c r="BG14" s="53">
        <f t="shared" si="25"/>
        <v>0</v>
      </c>
      <c r="BH14" s="26"/>
    </row>
    <row r="15">
      <c r="A15" s="58"/>
      <c r="B15" s="26"/>
      <c r="C15" s="29"/>
      <c r="D15" s="54"/>
      <c r="E15" s="29">
        <f t="shared" si="1"/>
        <v>0</v>
      </c>
      <c r="F15" s="32"/>
      <c r="G15" s="29"/>
      <c r="H15" s="29"/>
      <c r="I15" s="31">
        <f t="shared" si="2"/>
        <v>0</v>
      </c>
      <c r="J15" s="32">
        <f t="shared" si="3"/>
        <v>0</v>
      </c>
      <c r="K15" s="26"/>
      <c r="L15" s="29"/>
      <c r="M15" s="34"/>
      <c r="N15" s="34"/>
      <c r="O15" s="34"/>
      <c r="P15" s="34"/>
      <c r="Q15" s="34"/>
      <c r="R15" s="26"/>
      <c r="S15" s="34">
        <f t="shared" si="4"/>
        <v>0</v>
      </c>
      <c r="T15" s="54"/>
      <c r="U15" s="34">
        <f t="shared" si="5"/>
        <v>0</v>
      </c>
      <c r="V15" s="54"/>
      <c r="W15" s="34">
        <f t="shared" si="6"/>
        <v>0</v>
      </c>
      <c r="X15" s="54"/>
      <c r="Y15" s="34">
        <f t="shared" si="7"/>
        <v>0</v>
      </c>
      <c r="Z15" s="54"/>
      <c r="AA15" s="34">
        <f t="shared" si="8"/>
        <v>0</v>
      </c>
      <c r="AB15" s="54"/>
      <c r="AC15" s="34">
        <f t="shared" si="9"/>
        <v>0</v>
      </c>
      <c r="AD15" s="54"/>
      <c r="AE15" s="34">
        <f t="shared" si="10"/>
        <v>0</v>
      </c>
      <c r="AF15" s="54"/>
      <c r="AG15" s="26"/>
      <c r="AH15" s="34">
        <f t="shared" si="11"/>
        <v>0</v>
      </c>
      <c r="AI15" s="54"/>
      <c r="AJ15" s="34">
        <f t="shared" si="12"/>
        <v>0</v>
      </c>
      <c r="AK15" s="54"/>
      <c r="AL15" s="34">
        <f t="shared" si="13"/>
        <v>0</v>
      </c>
      <c r="AM15" s="54"/>
      <c r="AN15" s="34">
        <f t="shared" si="14"/>
        <v>0</v>
      </c>
      <c r="AO15" s="54"/>
      <c r="AP15" s="34">
        <f t="shared" si="15"/>
        <v>0</v>
      </c>
      <c r="AQ15" s="54"/>
      <c r="AR15" s="34">
        <f t="shared" si="16"/>
        <v>0</v>
      </c>
      <c r="AS15" s="54"/>
      <c r="AT15" s="26"/>
      <c r="AU15" s="59"/>
      <c r="AV15" s="33">
        <f t="shared" si="17"/>
        <v>0</v>
      </c>
      <c r="AW15" s="56"/>
      <c r="AX15" s="34">
        <f t="shared" si="18"/>
        <v>0</v>
      </c>
      <c r="AY15" s="33">
        <f t="shared" si="19"/>
        <v>0</v>
      </c>
      <c r="AZ15" s="34">
        <f t="shared" si="20"/>
        <v>0</v>
      </c>
      <c r="BA15" s="37">
        <f t="shared" si="21"/>
        <v>0</v>
      </c>
      <c r="BB15" s="26"/>
      <c r="BC15" s="31" t="str">
        <f t="shared" si="22"/>
        <v/>
      </c>
      <c r="BD15" s="29"/>
      <c r="BE15" s="31">
        <f t="shared" si="23"/>
        <v>0</v>
      </c>
      <c r="BF15" s="31">
        <f t="shared" si="24"/>
        <v>0</v>
      </c>
      <c r="BG15" s="39">
        <f t="shared" si="25"/>
        <v>0</v>
      </c>
      <c r="BH15" s="26"/>
    </row>
    <row r="16">
      <c r="A16" s="57"/>
      <c r="B16" s="26"/>
      <c r="C16" s="43"/>
      <c r="D16" s="48"/>
      <c r="E16" s="43">
        <f t="shared" si="1"/>
        <v>0</v>
      </c>
      <c r="F16" s="46"/>
      <c r="G16" s="43"/>
      <c r="H16" s="43"/>
      <c r="I16" s="45">
        <f t="shared" si="2"/>
        <v>0</v>
      </c>
      <c r="J16" s="46">
        <f t="shared" si="3"/>
        <v>0</v>
      </c>
      <c r="K16" s="26"/>
      <c r="L16" s="43"/>
      <c r="M16" s="47"/>
      <c r="N16" s="47"/>
      <c r="O16" s="47"/>
      <c r="P16" s="47"/>
      <c r="Q16" s="47"/>
      <c r="R16" s="26"/>
      <c r="S16" s="47">
        <f t="shared" si="4"/>
        <v>0</v>
      </c>
      <c r="T16" s="48"/>
      <c r="U16" s="47">
        <f t="shared" si="5"/>
        <v>0</v>
      </c>
      <c r="V16" s="48"/>
      <c r="W16" s="47">
        <f t="shared" si="6"/>
        <v>0</v>
      </c>
      <c r="X16" s="48"/>
      <c r="Y16" s="47">
        <f t="shared" si="7"/>
        <v>0</v>
      </c>
      <c r="Z16" s="48"/>
      <c r="AA16" s="47">
        <f t="shared" si="8"/>
        <v>0</v>
      </c>
      <c r="AB16" s="48"/>
      <c r="AC16" s="47">
        <f t="shared" si="9"/>
        <v>0</v>
      </c>
      <c r="AD16" s="48"/>
      <c r="AE16" s="47">
        <f t="shared" si="10"/>
        <v>0</v>
      </c>
      <c r="AF16" s="48"/>
      <c r="AG16" s="26"/>
      <c r="AH16" s="47">
        <f t="shared" si="11"/>
        <v>0</v>
      </c>
      <c r="AI16" s="48"/>
      <c r="AJ16" s="47">
        <f t="shared" si="12"/>
        <v>0</v>
      </c>
      <c r="AK16" s="48"/>
      <c r="AL16" s="47">
        <f t="shared" si="13"/>
        <v>0</v>
      </c>
      <c r="AM16" s="48"/>
      <c r="AN16" s="47">
        <f t="shared" si="14"/>
        <v>0</v>
      </c>
      <c r="AO16" s="48"/>
      <c r="AP16" s="47">
        <f t="shared" si="15"/>
        <v>0</v>
      </c>
      <c r="AQ16" s="48"/>
      <c r="AR16" s="47">
        <f t="shared" si="16"/>
        <v>0</v>
      </c>
      <c r="AS16" s="48"/>
      <c r="AT16" s="26"/>
      <c r="AU16" s="60"/>
      <c r="AV16" s="50">
        <f t="shared" si="17"/>
        <v>0</v>
      </c>
      <c r="AW16" s="51"/>
      <c r="AX16" s="47">
        <f t="shared" si="18"/>
        <v>0</v>
      </c>
      <c r="AY16" s="50">
        <f t="shared" si="19"/>
        <v>0</v>
      </c>
      <c r="AZ16" s="47">
        <f t="shared" si="20"/>
        <v>0</v>
      </c>
      <c r="BA16" s="52">
        <f t="shared" si="21"/>
        <v>0</v>
      </c>
      <c r="BB16" s="26"/>
      <c r="BC16" s="45" t="str">
        <f t="shared" si="22"/>
        <v/>
      </c>
      <c r="BD16" s="43"/>
      <c r="BE16" s="45">
        <f t="shared" si="23"/>
        <v>0</v>
      </c>
      <c r="BF16" s="45">
        <f t="shared" si="24"/>
        <v>0</v>
      </c>
      <c r="BG16" s="53">
        <f t="shared" si="25"/>
        <v>0</v>
      </c>
      <c r="BH16" s="26"/>
    </row>
    <row r="17">
      <c r="A17" s="58"/>
      <c r="B17" s="26"/>
      <c r="C17" s="29"/>
      <c r="D17" s="54"/>
      <c r="E17" s="29">
        <f t="shared" si="1"/>
        <v>0</v>
      </c>
      <c r="F17" s="32"/>
      <c r="G17" s="29"/>
      <c r="H17" s="29"/>
      <c r="I17" s="31">
        <f t="shared" si="2"/>
        <v>0</v>
      </c>
      <c r="J17" s="32">
        <f t="shared" si="3"/>
        <v>0</v>
      </c>
      <c r="K17" s="26"/>
      <c r="L17" s="29"/>
      <c r="M17" s="34"/>
      <c r="N17" s="34"/>
      <c r="O17" s="34"/>
      <c r="P17" s="34"/>
      <c r="Q17" s="34"/>
      <c r="R17" s="26"/>
      <c r="S17" s="34">
        <f t="shared" si="4"/>
        <v>0</v>
      </c>
      <c r="T17" s="54"/>
      <c r="U17" s="34">
        <f t="shared" si="5"/>
        <v>0</v>
      </c>
      <c r="V17" s="54"/>
      <c r="W17" s="34">
        <f t="shared" si="6"/>
        <v>0</v>
      </c>
      <c r="X17" s="54"/>
      <c r="Y17" s="34">
        <f t="shared" si="7"/>
        <v>0</v>
      </c>
      <c r="Z17" s="54"/>
      <c r="AA17" s="34">
        <f t="shared" si="8"/>
        <v>0</v>
      </c>
      <c r="AB17" s="54"/>
      <c r="AC17" s="34">
        <f t="shared" si="9"/>
        <v>0</v>
      </c>
      <c r="AD17" s="54"/>
      <c r="AE17" s="34">
        <f t="shared" si="10"/>
        <v>0</v>
      </c>
      <c r="AF17" s="54"/>
      <c r="AG17" s="26"/>
      <c r="AH17" s="34">
        <f t="shared" si="11"/>
        <v>0</v>
      </c>
      <c r="AI17" s="54"/>
      <c r="AJ17" s="34">
        <f t="shared" si="12"/>
        <v>0</v>
      </c>
      <c r="AK17" s="54"/>
      <c r="AL17" s="34">
        <f t="shared" si="13"/>
        <v>0</v>
      </c>
      <c r="AM17" s="54"/>
      <c r="AN17" s="34">
        <f t="shared" si="14"/>
        <v>0</v>
      </c>
      <c r="AO17" s="54"/>
      <c r="AP17" s="34">
        <f t="shared" si="15"/>
        <v>0</v>
      </c>
      <c r="AQ17" s="54"/>
      <c r="AR17" s="34">
        <f t="shared" si="16"/>
        <v>0</v>
      </c>
      <c r="AS17" s="54"/>
      <c r="AT17" s="26"/>
      <c r="AU17" s="59"/>
      <c r="AV17" s="33">
        <f t="shared" si="17"/>
        <v>0</v>
      </c>
      <c r="AW17" s="56"/>
      <c r="AX17" s="34">
        <f t="shared" si="18"/>
        <v>0</v>
      </c>
      <c r="AY17" s="33">
        <f t="shared" si="19"/>
        <v>0</v>
      </c>
      <c r="AZ17" s="34">
        <f t="shared" si="20"/>
        <v>0</v>
      </c>
      <c r="BA17" s="37">
        <f t="shared" si="21"/>
        <v>0</v>
      </c>
      <c r="BB17" s="26"/>
      <c r="BC17" s="31" t="str">
        <f t="shared" si="22"/>
        <v/>
      </c>
      <c r="BD17" s="29"/>
      <c r="BE17" s="31">
        <f t="shared" si="23"/>
        <v>0</v>
      </c>
      <c r="BF17" s="31">
        <f t="shared" si="24"/>
        <v>0</v>
      </c>
      <c r="BG17" s="39">
        <f t="shared" si="25"/>
        <v>0</v>
      </c>
      <c r="BH17" s="26"/>
    </row>
    <row r="18">
      <c r="A18" s="57"/>
      <c r="B18" s="26"/>
      <c r="C18" s="43"/>
      <c r="D18" s="48"/>
      <c r="E18" s="43">
        <f t="shared" si="1"/>
        <v>0</v>
      </c>
      <c r="F18" s="46"/>
      <c r="G18" s="43"/>
      <c r="H18" s="43"/>
      <c r="I18" s="45">
        <f t="shared" si="2"/>
        <v>0</v>
      </c>
      <c r="J18" s="46">
        <f t="shared" si="3"/>
        <v>0</v>
      </c>
      <c r="K18" s="26"/>
      <c r="L18" s="43"/>
      <c r="M18" s="47"/>
      <c r="N18" s="47"/>
      <c r="O18" s="47"/>
      <c r="P18" s="47"/>
      <c r="Q18" s="47"/>
      <c r="R18" s="26"/>
      <c r="S18" s="47">
        <f t="shared" si="4"/>
        <v>0</v>
      </c>
      <c r="T18" s="48"/>
      <c r="U18" s="47">
        <f t="shared" si="5"/>
        <v>0</v>
      </c>
      <c r="V18" s="48"/>
      <c r="W18" s="47">
        <f t="shared" si="6"/>
        <v>0</v>
      </c>
      <c r="X18" s="48"/>
      <c r="Y18" s="47">
        <f t="shared" si="7"/>
        <v>0</v>
      </c>
      <c r="Z18" s="48"/>
      <c r="AA18" s="47">
        <f t="shared" si="8"/>
        <v>0</v>
      </c>
      <c r="AB18" s="48"/>
      <c r="AC18" s="47">
        <f t="shared" si="9"/>
        <v>0</v>
      </c>
      <c r="AD18" s="48"/>
      <c r="AE18" s="47">
        <f t="shared" si="10"/>
        <v>0</v>
      </c>
      <c r="AF18" s="48"/>
      <c r="AG18" s="26"/>
      <c r="AH18" s="47">
        <f t="shared" si="11"/>
        <v>0</v>
      </c>
      <c r="AI18" s="48"/>
      <c r="AJ18" s="47">
        <f t="shared" si="12"/>
        <v>0</v>
      </c>
      <c r="AK18" s="48"/>
      <c r="AL18" s="47">
        <f t="shared" si="13"/>
        <v>0</v>
      </c>
      <c r="AM18" s="48"/>
      <c r="AN18" s="47">
        <f t="shared" si="14"/>
        <v>0</v>
      </c>
      <c r="AO18" s="48"/>
      <c r="AP18" s="47">
        <f t="shared" si="15"/>
        <v>0</v>
      </c>
      <c r="AQ18" s="48"/>
      <c r="AR18" s="47">
        <f t="shared" si="16"/>
        <v>0</v>
      </c>
      <c r="AS18" s="48"/>
      <c r="AT18" s="26"/>
      <c r="AU18" s="60"/>
      <c r="AV18" s="50">
        <f t="shared" si="17"/>
        <v>0</v>
      </c>
      <c r="AW18" s="51"/>
      <c r="AX18" s="47">
        <f t="shared" si="18"/>
        <v>0</v>
      </c>
      <c r="AY18" s="50">
        <f t="shared" si="19"/>
        <v>0</v>
      </c>
      <c r="AZ18" s="47">
        <f t="shared" si="20"/>
        <v>0</v>
      </c>
      <c r="BA18" s="52">
        <f t="shared" si="21"/>
        <v>0</v>
      </c>
      <c r="BB18" s="26"/>
      <c r="BC18" s="45" t="str">
        <f t="shared" si="22"/>
        <v/>
      </c>
      <c r="BD18" s="43"/>
      <c r="BE18" s="45">
        <f t="shared" si="23"/>
        <v>0</v>
      </c>
      <c r="BF18" s="45">
        <f t="shared" si="24"/>
        <v>0</v>
      </c>
      <c r="BG18" s="53">
        <f t="shared" si="25"/>
        <v>0</v>
      </c>
      <c r="BH18" s="26"/>
    </row>
    <row r="19">
      <c r="A19" s="58"/>
      <c r="B19" s="26"/>
      <c r="C19" s="29"/>
      <c r="D19" s="54"/>
      <c r="E19" s="29">
        <f t="shared" si="1"/>
        <v>0</v>
      </c>
      <c r="F19" s="32"/>
      <c r="G19" s="29"/>
      <c r="H19" s="29"/>
      <c r="I19" s="31">
        <f t="shared" si="2"/>
        <v>0</v>
      </c>
      <c r="J19" s="32">
        <f t="shared" si="3"/>
        <v>0</v>
      </c>
      <c r="K19" s="26"/>
      <c r="L19" s="29"/>
      <c r="M19" s="34"/>
      <c r="N19" s="34"/>
      <c r="O19" s="34"/>
      <c r="P19" s="34"/>
      <c r="Q19" s="34"/>
      <c r="R19" s="26"/>
      <c r="S19" s="34">
        <f t="shared" si="4"/>
        <v>0</v>
      </c>
      <c r="T19" s="54"/>
      <c r="U19" s="34">
        <f t="shared" si="5"/>
        <v>0</v>
      </c>
      <c r="V19" s="54"/>
      <c r="W19" s="34">
        <f t="shared" si="6"/>
        <v>0</v>
      </c>
      <c r="X19" s="54"/>
      <c r="Y19" s="34">
        <f t="shared" si="7"/>
        <v>0</v>
      </c>
      <c r="Z19" s="54"/>
      <c r="AA19" s="34">
        <f t="shared" si="8"/>
        <v>0</v>
      </c>
      <c r="AB19" s="54"/>
      <c r="AC19" s="34">
        <f t="shared" si="9"/>
        <v>0</v>
      </c>
      <c r="AD19" s="54"/>
      <c r="AE19" s="34">
        <f t="shared" si="10"/>
        <v>0</v>
      </c>
      <c r="AF19" s="54"/>
      <c r="AG19" s="26"/>
      <c r="AH19" s="34">
        <f t="shared" si="11"/>
        <v>0</v>
      </c>
      <c r="AI19" s="54"/>
      <c r="AJ19" s="34">
        <f t="shared" si="12"/>
        <v>0</v>
      </c>
      <c r="AK19" s="54"/>
      <c r="AL19" s="34">
        <f t="shared" si="13"/>
        <v>0</v>
      </c>
      <c r="AM19" s="54"/>
      <c r="AN19" s="34">
        <f t="shared" si="14"/>
        <v>0</v>
      </c>
      <c r="AO19" s="54"/>
      <c r="AP19" s="34">
        <f t="shared" si="15"/>
        <v>0</v>
      </c>
      <c r="AQ19" s="54"/>
      <c r="AR19" s="34">
        <f t="shared" si="16"/>
        <v>0</v>
      </c>
      <c r="AS19" s="54"/>
      <c r="AT19" s="26"/>
      <c r="AU19" s="59"/>
      <c r="AV19" s="33">
        <f t="shared" si="17"/>
        <v>0</v>
      </c>
      <c r="AW19" s="56"/>
      <c r="AX19" s="34">
        <f t="shared" si="18"/>
        <v>0</v>
      </c>
      <c r="AY19" s="33">
        <f t="shared" si="19"/>
        <v>0</v>
      </c>
      <c r="AZ19" s="34">
        <f t="shared" si="20"/>
        <v>0</v>
      </c>
      <c r="BA19" s="37">
        <f t="shared" si="21"/>
        <v>0</v>
      </c>
      <c r="BB19" s="26"/>
      <c r="BC19" s="31" t="str">
        <f t="shared" si="22"/>
        <v/>
      </c>
      <c r="BD19" s="29"/>
      <c r="BE19" s="31">
        <f t="shared" si="23"/>
        <v>0</v>
      </c>
      <c r="BF19" s="31">
        <f t="shared" si="24"/>
        <v>0</v>
      </c>
      <c r="BG19" s="39">
        <f t="shared" si="25"/>
        <v>0</v>
      </c>
      <c r="BH19" s="26"/>
    </row>
    <row r="20">
      <c r="A20" s="57"/>
      <c r="B20" s="26"/>
      <c r="C20" s="43"/>
      <c r="D20" s="48"/>
      <c r="E20" s="43">
        <f t="shared" si="1"/>
        <v>0</v>
      </c>
      <c r="F20" s="46"/>
      <c r="G20" s="43"/>
      <c r="H20" s="43"/>
      <c r="I20" s="45">
        <f t="shared" si="2"/>
        <v>0</v>
      </c>
      <c r="J20" s="46">
        <f t="shared" si="3"/>
        <v>0</v>
      </c>
      <c r="K20" s="26"/>
      <c r="L20" s="43"/>
      <c r="M20" s="47"/>
      <c r="N20" s="47"/>
      <c r="O20" s="47"/>
      <c r="P20" s="47"/>
      <c r="Q20" s="47"/>
      <c r="R20" s="26"/>
      <c r="S20" s="47">
        <f t="shared" si="4"/>
        <v>0</v>
      </c>
      <c r="T20" s="48"/>
      <c r="U20" s="47">
        <f t="shared" si="5"/>
        <v>0</v>
      </c>
      <c r="V20" s="48"/>
      <c r="W20" s="47">
        <f t="shared" si="6"/>
        <v>0</v>
      </c>
      <c r="X20" s="48"/>
      <c r="Y20" s="47">
        <f t="shared" si="7"/>
        <v>0</v>
      </c>
      <c r="Z20" s="48"/>
      <c r="AA20" s="47">
        <f t="shared" si="8"/>
        <v>0</v>
      </c>
      <c r="AB20" s="48"/>
      <c r="AC20" s="47">
        <f t="shared" si="9"/>
        <v>0</v>
      </c>
      <c r="AD20" s="48"/>
      <c r="AE20" s="47">
        <f t="shared" si="10"/>
        <v>0</v>
      </c>
      <c r="AF20" s="48"/>
      <c r="AG20" s="26"/>
      <c r="AH20" s="47">
        <f t="shared" si="11"/>
        <v>0</v>
      </c>
      <c r="AI20" s="48"/>
      <c r="AJ20" s="47">
        <f t="shared" si="12"/>
        <v>0</v>
      </c>
      <c r="AK20" s="48"/>
      <c r="AL20" s="47">
        <f t="shared" si="13"/>
        <v>0</v>
      </c>
      <c r="AM20" s="48"/>
      <c r="AN20" s="47">
        <f t="shared" si="14"/>
        <v>0</v>
      </c>
      <c r="AO20" s="48"/>
      <c r="AP20" s="47">
        <f t="shared" si="15"/>
        <v>0</v>
      </c>
      <c r="AQ20" s="48"/>
      <c r="AR20" s="47">
        <f t="shared" si="16"/>
        <v>0</v>
      </c>
      <c r="AS20" s="48"/>
      <c r="AT20" s="26"/>
      <c r="AU20" s="60"/>
      <c r="AV20" s="50">
        <f t="shared" si="17"/>
        <v>0</v>
      </c>
      <c r="AW20" s="51"/>
      <c r="AX20" s="47">
        <f t="shared" si="18"/>
        <v>0</v>
      </c>
      <c r="AY20" s="50">
        <f t="shared" si="19"/>
        <v>0</v>
      </c>
      <c r="AZ20" s="47">
        <f t="shared" si="20"/>
        <v>0</v>
      </c>
      <c r="BA20" s="52">
        <f t="shared" si="21"/>
        <v>0</v>
      </c>
      <c r="BB20" s="26"/>
      <c r="BC20" s="45" t="str">
        <f t="shared" si="22"/>
        <v/>
      </c>
      <c r="BD20" s="43"/>
      <c r="BE20" s="45">
        <f t="shared" si="23"/>
        <v>0</v>
      </c>
      <c r="BF20" s="45">
        <f t="shared" si="24"/>
        <v>0</v>
      </c>
      <c r="BG20" s="53">
        <f t="shared" si="25"/>
        <v>0</v>
      </c>
      <c r="BH20" s="26"/>
    </row>
    <row r="21">
      <c r="A21" s="58"/>
      <c r="B21" s="26"/>
      <c r="C21" s="29"/>
      <c r="D21" s="54"/>
      <c r="E21" s="29">
        <f t="shared" si="1"/>
        <v>0</v>
      </c>
      <c r="F21" s="32"/>
      <c r="G21" s="29"/>
      <c r="H21" s="29"/>
      <c r="I21" s="31">
        <f t="shared" si="2"/>
        <v>0</v>
      </c>
      <c r="J21" s="32">
        <f t="shared" si="3"/>
        <v>0</v>
      </c>
      <c r="K21" s="26"/>
      <c r="L21" s="29"/>
      <c r="M21" s="34"/>
      <c r="N21" s="34"/>
      <c r="O21" s="34"/>
      <c r="P21" s="34"/>
      <c r="Q21" s="34"/>
      <c r="R21" s="26"/>
      <c r="S21" s="34">
        <f t="shared" si="4"/>
        <v>0</v>
      </c>
      <c r="T21" s="54"/>
      <c r="U21" s="34">
        <f t="shared" si="5"/>
        <v>0</v>
      </c>
      <c r="V21" s="54"/>
      <c r="W21" s="34">
        <f t="shared" si="6"/>
        <v>0</v>
      </c>
      <c r="X21" s="54"/>
      <c r="Y21" s="34">
        <f t="shared" si="7"/>
        <v>0</v>
      </c>
      <c r="Z21" s="54"/>
      <c r="AA21" s="34">
        <f t="shared" si="8"/>
        <v>0</v>
      </c>
      <c r="AB21" s="54"/>
      <c r="AC21" s="34">
        <f t="shared" si="9"/>
        <v>0</v>
      </c>
      <c r="AD21" s="54"/>
      <c r="AE21" s="34">
        <f t="shared" si="10"/>
        <v>0</v>
      </c>
      <c r="AF21" s="54"/>
      <c r="AG21" s="26"/>
      <c r="AH21" s="34">
        <f t="shared" si="11"/>
        <v>0</v>
      </c>
      <c r="AI21" s="54"/>
      <c r="AJ21" s="34">
        <f t="shared" si="12"/>
        <v>0</v>
      </c>
      <c r="AK21" s="54"/>
      <c r="AL21" s="34">
        <f t="shared" si="13"/>
        <v>0</v>
      </c>
      <c r="AM21" s="54"/>
      <c r="AN21" s="34">
        <f t="shared" si="14"/>
        <v>0</v>
      </c>
      <c r="AO21" s="54"/>
      <c r="AP21" s="34">
        <f t="shared" si="15"/>
        <v>0</v>
      </c>
      <c r="AQ21" s="54"/>
      <c r="AR21" s="34">
        <f t="shared" si="16"/>
        <v>0</v>
      </c>
      <c r="AS21" s="54"/>
      <c r="AT21" s="26"/>
      <c r="AU21" s="59"/>
      <c r="AV21" s="33">
        <f t="shared" si="17"/>
        <v>0</v>
      </c>
      <c r="AW21" s="56"/>
      <c r="AX21" s="34">
        <f t="shared" si="18"/>
        <v>0</v>
      </c>
      <c r="AY21" s="33">
        <f t="shared" si="19"/>
        <v>0</v>
      </c>
      <c r="AZ21" s="34">
        <f t="shared" si="20"/>
        <v>0</v>
      </c>
      <c r="BA21" s="37">
        <f t="shared" si="21"/>
        <v>0</v>
      </c>
      <c r="BB21" s="26"/>
      <c r="BC21" s="31" t="str">
        <f t="shared" si="22"/>
        <v/>
      </c>
      <c r="BD21" s="29"/>
      <c r="BE21" s="31">
        <f t="shared" si="23"/>
        <v>0</v>
      </c>
      <c r="BF21" s="31">
        <f t="shared" si="24"/>
        <v>0</v>
      </c>
      <c r="BG21" s="39">
        <f t="shared" si="25"/>
        <v>0</v>
      </c>
      <c r="BH21" s="26"/>
    </row>
    <row r="22">
      <c r="A22" s="57"/>
      <c r="B22" s="26"/>
      <c r="C22" s="43"/>
      <c r="D22" s="48"/>
      <c r="E22" s="43">
        <f t="shared" si="1"/>
        <v>0</v>
      </c>
      <c r="F22" s="46"/>
      <c r="G22" s="43"/>
      <c r="H22" s="43"/>
      <c r="I22" s="45">
        <f t="shared" si="2"/>
        <v>0</v>
      </c>
      <c r="J22" s="46">
        <f t="shared" si="3"/>
        <v>0</v>
      </c>
      <c r="K22" s="26"/>
      <c r="L22" s="43"/>
      <c r="M22" s="47"/>
      <c r="N22" s="47"/>
      <c r="O22" s="47"/>
      <c r="P22" s="47"/>
      <c r="Q22" s="47"/>
      <c r="R22" s="26"/>
      <c r="S22" s="47">
        <f t="shared" si="4"/>
        <v>0</v>
      </c>
      <c r="T22" s="48"/>
      <c r="U22" s="47">
        <f t="shared" si="5"/>
        <v>0</v>
      </c>
      <c r="V22" s="48"/>
      <c r="W22" s="47">
        <f t="shared" si="6"/>
        <v>0</v>
      </c>
      <c r="X22" s="48"/>
      <c r="Y22" s="47">
        <f t="shared" si="7"/>
        <v>0</v>
      </c>
      <c r="Z22" s="48"/>
      <c r="AA22" s="47">
        <f t="shared" si="8"/>
        <v>0</v>
      </c>
      <c r="AB22" s="48"/>
      <c r="AC22" s="47">
        <f t="shared" si="9"/>
        <v>0</v>
      </c>
      <c r="AD22" s="48"/>
      <c r="AE22" s="47">
        <f t="shared" si="10"/>
        <v>0</v>
      </c>
      <c r="AF22" s="48"/>
      <c r="AG22" s="26"/>
      <c r="AH22" s="47">
        <f t="shared" si="11"/>
        <v>0</v>
      </c>
      <c r="AI22" s="48"/>
      <c r="AJ22" s="47">
        <f t="shared" si="12"/>
        <v>0</v>
      </c>
      <c r="AK22" s="48"/>
      <c r="AL22" s="47">
        <f t="shared" si="13"/>
        <v>0</v>
      </c>
      <c r="AM22" s="48"/>
      <c r="AN22" s="47">
        <f t="shared" si="14"/>
        <v>0</v>
      </c>
      <c r="AO22" s="48"/>
      <c r="AP22" s="47">
        <f t="shared" si="15"/>
        <v>0</v>
      </c>
      <c r="AQ22" s="48"/>
      <c r="AR22" s="47">
        <f t="shared" si="16"/>
        <v>0</v>
      </c>
      <c r="AS22" s="48"/>
      <c r="AT22" s="26"/>
      <c r="AU22" s="60"/>
      <c r="AV22" s="50">
        <f t="shared" si="17"/>
        <v>0</v>
      </c>
      <c r="AW22" s="51"/>
      <c r="AX22" s="47">
        <f t="shared" si="18"/>
        <v>0</v>
      </c>
      <c r="AY22" s="50">
        <f t="shared" si="19"/>
        <v>0</v>
      </c>
      <c r="AZ22" s="47">
        <f t="shared" si="20"/>
        <v>0</v>
      </c>
      <c r="BA22" s="52">
        <f t="shared" si="21"/>
        <v>0</v>
      </c>
      <c r="BB22" s="26"/>
      <c r="BC22" s="45" t="str">
        <f t="shared" si="22"/>
        <v/>
      </c>
      <c r="BD22" s="43"/>
      <c r="BE22" s="45">
        <f t="shared" si="23"/>
        <v>0</v>
      </c>
      <c r="BF22" s="45">
        <f t="shared" si="24"/>
        <v>0</v>
      </c>
      <c r="BG22" s="53">
        <f t="shared" si="25"/>
        <v>0</v>
      </c>
      <c r="BH22" s="26"/>
    </row>
    <row r="23">
      <c r="A23" s="58"/>
      <c r="B23" s="26"/>
      <c r="C23" s="29"/>
      <c r="D23" s="54"/>
      <c r="E23" s="29">
        <f t="shared" si="1"/>
        <v>0</v>
      </c>
      <c r="F23" s="32"/>
      <c r="G23" s="29"/>
      <c r="H23" s="29"/>
      <c r="I23" s="31">
        <f t="shared" si="2"/>
        <v>0</v>
      </c>
      <c r="J23" s="32">
        <f t="shared" si="3"/>
        <v>0</v>
      </c>
      <c r="K23" s="26"/>
      <c r="L23" s="29"/>
      <c r="M23" s="34"/>
      <c r="N23" s="34"/>
      <c r="O23" s="34"/>
      <c r="P23" s="34"/>
      <c r="Q23" s="34"/>
      <c r="R23" s="26"/>
      <c r="S23" s="34">
        <f t="shared" si="4"/>
        <v>0</v>
      </c>
      <c r="T23" s="54"/>
      <c r="U23" s="34">
        <f t="shared" si="5"/>
        <v>0</v>
      </c>
      <c r="V23" s="54"/>
      <c r="W23" s="34">
        <f t="shared" si="6"/>
        <v>0</v>
      </c>
      <c r="X23" s="54"/>
      <c r="Y23" s="34">
        <f t="shared" si="7"/>
        <v>0</v>
      </c>
      <c r="Z23" s="54"/>
      <c r="AA23" s="34">
        <f t="shared" si="8"/>
        <v>0</v>
      </c>
      <c r="AB23" s="54"/>
      <c r="AC23" s="34">
        <f t="shared" si="9"/>
        <v>0</v>
      </c>
      <c r="AD23" s="54"/>
      <c r="AE23" s="34">
        <f t="shared" si="10"/>
        <v>0</v>
      </c>
      <c r="AF23" s="54"/>
      <c r="AG23" s="26"/>
      <c r="AH23" s="34">
        <f t="shared" si="11"/>
        <v>0</v>
      </c>
      <c r="AI23" s="54"/>
      <c r="AJ23" s="34">
        <f t="shared" si="12"/>
        <v>0</v>
      </c>
      <c r="AK23" s="54"/>
      <c r="AL23" s="34">
        <f t="shared" si="13"/>
        <v>0</v>
      </c>
      <c r="AM23" s="54"/>
      <c r="AN23" s="34">
        <f t="shared" si="14"/>
        <v>0</v>
      </c>
      <c r="AO23" s="54"/>
      <c r="AP23" s="34">
        <f t="shared" si="15"/>
        <v>0</v>
      </c>
      <c r="AQ23" s="54"/>
      <c r="AR23" s="34">
        <f t="shared" si="16"/>
        <v>0</v>
      </c>
      <c r="AS23" s="54"/>
      <c r="AT23" s="26"/>
      <c r="AU23" s="59"/>
      <c r="AV23" s="33">
        <f t="shared" si="17"/>
        <v>0</v>
      </c>
      <c r="AW23" s="56"/>
      <c r="AX23" s="34">
        <f t="shared" si="18"/>
        <v>0</v>
      </c>
      <c r="AY23" s="33">
        <f t="shared" si="19"/>
        <v>0</v>
      </c>
      <c r="AZ23" s="34">
        <f t="shared" si="20"/>
        <v>0</v>
      </c>
      <c r="BA23" s="37">
        <f t="shared" si="21"/>
        <v>0</v>
      </c>
      <c r="BB23" s="26"/>
      <c r="BC23" s="31" t="str">
        <f t="shared" si="22"/>
        <v/>
      </c>
      <c r="BD23" s="29"/>
      <c r="BE23" s="31">
        <f t="shared" si="23"/>
        <v>0</v>
      </c>
      <c r="BF23" s="31">
        <f t="shared" si="24"/>
        <v>0</v>
      </c>
      <c r="BG23" s="39">
        <f t="shared" si="25"/>
        <v>0</v>
      </c>
      <c r="BH23" s="26"/>
    </row>
    <row r="24">
      <c r="A24" s="57"/>
      <c r="B24" s="26"/>
      <c r="C24" s="43"/>
      <c r="D24" s="48"/>
      <c r="E24" s="43">
        <f t="shared" si="1"/>
        <v>0</v>
      </c>
      <c r="F24" s="46"/>
      <c r="G24" s="43"/>
      <c r="H24" s="43"/>
      <c r="I24" s="45">
        <f t="shared" si="2"/>
        <v>0</v>
      </c>
      <c r="J24" s="46">
        <f t="shared" si="3"/>
        <v>0</v>
      </c>
      <c r="K24" s="26"/>
      <c r="L24" s="43"/>
      <c r="M24" s="47"/>
      <c r="N24" s="47"/>
      <c r="O24" s="47"/>
      <c r="P24" s="47"/>
      <c r="Q24" s="47"/>
      <c r="R24" s="26"/>
      <c r="S24" s="47">
        <f t="shared" si="4"/>
        <v>0</v>
      </c>
      <c r="T24" s="48"/>
      <c r="U24" s="47">
        <f t="shared" si="5"/>
        <v>0</v>
      </c>
      <c r="V24" s="48"/>
      <c r="W24" s="47">
        <f t="shared" si="6"/>
        <v>0</v>
      </c>
      <c r="X24" s="48"/>
      <c r="Y24" s="47">
        <f t="shared" si="7"/>
        <v>0</v>
      </c>
      <c r="Z24" s="48"/>
      <c r="AA24" s="47">
        <f t="shared" si="8"/>
        <v>0</v>
      </c>
      <c r="AB24" s="48"/>
      <c r="AC24" s="47">
        <f t="shared" si="9"/>
        <v>0</v>
      </c>
      <c r="AD24" s="48"/>
      <c r="AE24" s="47">
        <f t="shared" si="10"/>
        <v>0</v>
      </c>
      <c r="AF24" s="48"/>
      <c r="AG24" s="26"/>
      <c r="AH24" s="47">
        <f t="shared" si="11"/>
        <v>0</v>
      </c>
      <c r="AI24" s="48"/>
      <c r="AJ24" s="47">
        <f t="shared" si="12"/>
        <v>0</v>
      </c>
      <c r="AK24" s="48"/>
      <c r="AL24" s="47">
        <f t="shared" si="13"/>
        <v>0</v>
      </c>
      <c r="AM24" s="48"/>
      <c r="AN24" s="47">
        <f t="shared" si="14"/>
        <v>0</v>
      </c>
      <c r="AO24" s="48"/>
      <c r="AP24" s="47">
        <f t="shared" si="15"/>
        <v>0</v>
      </c>
      <c r="AQ24" s="48"/>
      <c r="AR24" s="47">
        <f t="shared" si="16"/>
        <v>0</v>
      </c>
      <c r="AS24" s="48"/>
      <c r="AT24" s="26"/>
      <c r="AU24" s="60"/>
      <c r="AV24" s="50">
        <f t="shared" si="17"/>
        <v>0</v>
      </c>
      <c r="AW24" s="51"/>
      <c r="AX24" s="47">
        <f t="shared" si="18"/>
        <v>0</v>
      </c>
      <c r="AY24" s="50">
        <f t="shared" si="19"/>
        <v>0</v>
      </c>
      <c r="AZ24" s="47">
        <f t="shared" si="20"/>
        <v>0</v>
      </c>
      <c r="BA24" s="52">
        <f t="shared" si="21"/>
        <v>0</v>
      </c>
      <c r="BB24" s="26"/>
      <c r="BC24" s="45" t="str">
        <f t="shared" si="22"/>
        <v/>
      </c>
      <c r="BD24" s="43"/>
      <c r="BE24" s="45">
        <f t="shared" si="23"/>
        <v>0</v>
      </c>
      <c r="BF24" s="45">
        <f t="shared" si="24"/>
        <v>0</v>
      </c>
      <c r="BG24" s="53">
        <f t="shared" si="25"/>
        <v>0</v>
      </c>
      <c r="BH24" s="26"/>
    </row>
    <row r="25">
      <c r="A25" s="58"/>
      <c r="B25" s="26"/>
      <c r="C25" s="29"/>
      <c r="D25" s="54"/>
      <c r="E25" s="29">
        <f t="shared" si="1"/>
        <v>0</v>
      </c>
      <c r="F25" s="32"/>
      <c r="G25" s="29"/>
      <c r="H25" s="29"/>
      <c r="I25" s="31">
        <f t="shared" si="2"/>
        <v>0</v>
      </c>
      <c r="J25" s="32">
        <f t="shared" si="3"/>
        <v>0</v>
      </c>
      <c r="K25" s="26"/>
      <c r="L25" s="29"/>
      <c r="M25" s="34"/>
      <c r="N25" s="34"/>
      <c r="O25" s="34"/>
      <c r="P25" s="34"/>
      <c r="Q25" s="34"/>
      <c r="R25" s="26"/>
      <c r="S25" s="34">
        <f t="shared" si="4"/>
        <v>0</v>
      </c>
      <c r="T25" s="54"/>
      <c r="U25" s="34">
        <f t="shared" si="5"/>
        <v>0</v>
      </c>
      <c r="V25" s="54"/>
      <c r="W25" s="34">
        <f t="shared" si="6"/>
        <v>0</v>
      </c>
      <c r="X25" s="54"/>
      <c r="Y25" s="34">
        <f t="shared" si="7"/>
        <v>0</v>
      </c>
      <c r="Z25" s="54"/>
      <c r="AA25" s="34">
        <f t="shared" si="8"/>
        <v>0</v>
      </c>
      <c r="AB25" s="54"/>
      <c r="AC25" s="34">
        <f t="shared" si="9"/>
        <v>0</v>
      </c>
      <c r="AD25" s="54"/>
      <c r="AE25" s="34">
        <f t="shared" si="10"/>
        <v>0</v>
      </c>
      <c r="AF25" s="54"/>
      <c r="AG25" s="26"/>
      <c r="AH25" s="34">
        <f t="shared" si="11"/>
        <v>0</v>
      </c>
      <c r="AI25" s="54"/>
      <c r="AJ25" s="34">
        <f t="shared" si="12"/>
        <v>0</v>
      </c>
      <c r="AK25" s="54"/>
      <c r="AL25" s="34">
        <f t="shared" si="13"/>
        <v>0</v>
      </c>
      <c r="AM25" s="54"/>
      <c r="AN25" s="34">
        <f t="shared" si="14"/>
        <v>0</v>
      </c>
      <c r="AO25" s="54"/>
      <c r="AP25" s="34">
        <f t="shared" si="15"/>
        <v>0</v>
      </c>
      <c r="AQ25" s="54"/>
      <c r="AR25" s="34">
        <f t="shared" si="16"/>
        <v>0</v>
      </c>
      <c r="AS25" s="54"/>
      <c r="AT25" s="26"/>
      <c r="AU25" s="59"/>
      <c r="AV25" s="33">
        <f t="shared" si="17"/>
        <v>0</v>
      </c>
      <c r="AW25" s="56"/>
      <c r="AX25" s="34">
        <f t="shared" si="18"/>
        <v>0</v>
      </c>
      <c r="AY25" s="33">
        <f t="shared" si="19"/>
        <v>0</v>
      </c>
      <c r="AZ25" s="34">
        <f t="shared" si="20"/>
        <v>0</v>
      </c>
      <c r="BA25" s="37">
        <f t="shared" si="21"/>
        <v>0</v>
      </c>
      <c r="BB25" s="26"/>
      <c r="BC25" s="31" t="str">
        <f t="shared" si="22"/>
        <v/>
      </c>
      <c r="BD25" s="29"/>
      <c r="BE25" s="31">
        <f t="shared" si="23"/>
        <v>0</v>
      </c>
      <c r="BF25" s="31">
        <f t="shared" si="24"/>
        <v>0</v>
      </c>
      <c r="BG25" s="39">
        <f t="shared" si="25"/>
        <v>0</v>
      </c>
      <c r="BH25" s="26"/>
    </row>
    <row r="26">
      <c r="A26" s="57"/>
      <c r="B26" s="26"/>
      <c r="C26" s="43"/>
      <c r="D26" s="48"/>
      <c r="E26" s="43">
        <f t="shared" si="1"/>
        <v>0</v>
      </c>
      <c r="F26" s="46"/>
      <c r="G26" s="43"/>
      <c r="H26" s="43"/>
      <c r="I26" s="45">
        <f t="shared" si="2"/>
        <v>0</v>
      </c>
      <c r="J26" s="46">
        <f t="shared" si="3"/>
        <v>0</v>
      </c>
      <c r="K26" s="26"/>
      <c r="L26" s="43"/>
      <c r="M26" s="47"/>
      <c r="N26" s="47"/>
      <c r="O26" s="47"/>
      <c r="P26" s="47"/>
      <c r="Q26" s="47"/>
      <c r="R26" s="26"/>
      <c r="S26" s="47">
        <f t="shared" si="4"/>
        <v>0</v>
      </c>
      <c r="T26" s="48"/>
      <c r="U26" s="47">
        <f t="shared" si="5"/>
        <v>0</v>
      </c>
      <c r="V26" s="48"/>
      <c r="W26" s="47">
        <f t="shared" si="6"/>
        <v>0</v>
      </c>
      <c r="X26" s="48"/>
      <c r="Y26" s="47">
        <f t="shared" si="7"/>
        <v>0</v>
      </c>
      <c r="Z26" s="48"/>
      <c r="AA26" s="47">
        <f t="shared" si="8"/>
        <v>0</v>
      </c>
      <c r="AB26" s="48"/>
      <c r="AC26" s="47">
        <f t="shared" si="9"/>
        <v>0</v>
      </c>
      <c r="AD26" s="48"/>
      <c r="AE26" s="47">
        <f t="shared" si="10"/>
        <v>0</v>
      </c>
      <c r="AF26" s="48"/>
      <c r="AG26" s="26"/>
      <c r="AH26" s="47">
        <f t="shared" si="11"/>
        <v>0</v>
      </c>
      <c r="AI26" s="48"/>
      <c r="AJ26" s="47">
        <f t="shared" si="12"/>
        <v>0</v>
      </c>
      <c r="AK26" s="48"/>
      <c r="AL26" s="47">
        <f t="shared" si="13"/>
        <v>0</v>
      </c>
      <c r="AM26" s="48"/>
      <c r="AN26" s="47">
        <f t="shared" si="14"/>
        <v>0</v>
      </c>
      <c r="AO26" s="48"/>
      <c r="AP26" s="47">
        <f t="shared" si="15"/>
        <v>0</v>
      </c>
      <c r="AQ26" s="48"/>
      <c r="AR26" s="47">
        <f t="shared" si="16"/>
        <v>0</v>
      </c>
      <c r="AS26" s="48"/>
      <c r="AT26" s="26"/>
      <c r="AU26" s="60"/>
      <c r="AV26" s="50">
        <f t="shared" si="17"/>
        <v>0</v>
      </c>
      <c r="AW26" s="51"/>
      <c r="AX26" s="47">
        <f t="shared" si="18"/>
        <v>0</v>
      </c>
      <c r="AY26" s="50">
        <f t="shared" si="19"/>
        <v>0</v>
      </c>
      <c r="AZ26" s="47">
        <f t="shared" si="20"/>
        <v>0</v>
      </c>
      <c r="BA26" s="52">
        <f t="shared" si="21"/>
        <v>0</v>
      </c>
      <c r="BB26" s="26"/>
      <c r="BC26" s="45" t="str">
        <f t="shared" si="22"/>
        <v/>
      </c>
      <c r="BD26" s="43"/>
      <c r="BE26" s="45">
        <f t="shared" si="23"/>
        <v>0</v>
      </c>
      <c r="BF26" s="45">
        <f t="shared" si="24"/>
        <v>0</v>
      </c>
      <c r="BG26" s="53">
        <f t="shared" si="25"/>
        <v>0</v>
      </c>
      <c r="BH26" s="26"/>
    </row>
    <row r="27">
      <c r="A27" s="58"/>
      <c r="B27" s="26"/>
      <c r="C27" s="29"/>
      <c r="D27" s="54"/>
      <c r="E27" s="29">
        <f t="shared" si="1"/>
        <v>0</v>
      </c>
      <c r="F27" s="32"/>
      <c r="G27" s="29"/>
      <c r="H27" s="29"/>
      <c r="I27" s="31">
        <f t="shared" si="2"/>
        <v>0</v>
      </c>
      <c r="J27" s="32">
        <f t="shared" si="3"/>
        <v>0</v>
      </c>
      <c r="K27" s="26"/>
      <c r="L27" s="29"/>
      <c r="M27" s="34"/>
      <c r="N27" s="34"/>
      <c r="O27" s="34"/>
      <c r="P27" s="34"/>
      <c r="Q27" s="34"/>
      <c r="R27" s="26"/>
      <c r="S27" s="34">
        <f t="shared" si="4"/>
        <v>0</v>
      </c>
      <c r="T27" s="54"/>
      <c r="U27" s="34">
        <f t="shared" si="5"/>
        <v>0</v>
      </c>
      <c r="V27" s="54"/>
      <c r="W27" s="34">
        <f t="shared" si="6"/>
        <v>0</v>
      </c>
      <c r="X27" s="54"/>
      <c r="Y27" s="34">
        <f t="shared" si="7"/>
        <v>0</v>
      </c>
      <c r="Z27" s="54"/>
      <c r="AA27" s="34">
        <f t="shared" si="8"/>
        <v>0</v>
      </c>
      <c r="AB27" s="54"/>
      <c r="AC27" s="34">
        <f t="shared" si="9"/>
        <v>0</v>
      </c>
      <c r="AD27" s="54"/>
      <c r="AE27" s="34">
        <f t="shared" si="10"/>
        <v>0</v>
      </c>
      <c r="AF27" s="54"/>
      <c r="AG27" s="26"/>
      <c r="AH27" s="34">
        <f t="shared" si="11"/>
        <v>0</v>
      </c>
      <c r="AI27" s="54"/>
      <c r="AJ27" s="34">
        <f t="shared" si="12"/>
        <v>0</v>
      </c>
      <c r="AK27" s="54"/>
      <c r="AL27" s="34">
        <f t="shared" si="13"/>
        <v>0</v>
      </c>
      <c r="AM27" s="54"/>
      <c r="AN27" s="34">
        <f t="shared" si="14"/>
        <v>0</v>
      </c>
      <c r="AO27" s="54"/>
      <c r="AP27" s="34">
        <f t="shared" si="15"/>
        <v>0</v>
      </c>
      <c r="AQ27" s="54"/>
      <c r="AR27" s="34">
        <f t="shared" si="16"/>
        <v>0</v>
      </c>
      <c r="AS27" s="54"/>
      <c r="AT27" s="26"/>
      <c r="AU27" s="59"/>
      <c r="AV27" s="33">
        <f t="shared" si="17"/>
        <v>0</v>
      </c>
      <c r="AW27" s="56"/>
      <c r="AX27" s="34">
        <f t="shared" si="18"/>
        <v>0</v>
      </c>
      <c r="AY27" s="33">
        <f t="shared" si="19"/>
        <v>0</v>
      </c>
      <c r="AZ27" s="34">
        <f t="shared" si="20"/>
        <v>0</v>
      </c>
      <c r="BA27" s="37">
        <f t="shared" si="21"/>
        <v>0</v>
      </c>
      <c r="BB27" s="26"/>
      <c r="BC27" s="31" t="str">
        <f t="shared" si="22"/>
        <v/>
      </c>
      <c r="BD27" s="29"/>
      <c r="BE27" s="31">
        <f t="shared" si="23"/>
        <v>0</v>
      </c>
      <c r="BF27" s="31">
        <f t="shared" si="24"/>
        <v>0</v>
      </c>
      <c r="BG27" s="39">
        <f t="shared" si="25"/>
        <v>0</v>
      </c>
      <c r="BH27" s="26"/>
    </row>
    <row r="28">
      <c r="A28" s="57"/>
      <c r="B28" s="26"/>
      <c r="C28" s="43"/>
      <c r="D28" s="48"/>
      <c r="E28" s="43">
        <f t="shared" si="1"/>
        <v>0</v>
      </c>
      <c r="F28" s="46"/>
      <c r="G28" s="43"/>
      <c r="H28" s="43"/>
      <c r="I28" s="45">
        <f t="shared" si="2"/>
        <v>0</v>
      </c>
      <c r="J28" s="46">
        <f t="shared" si="3"/>
        <v>0</v>
      </c>
      <c r="K28" s="26"/>
      <c r="L28" s="43"/>
      <c r="M28" s="47"/>
      <c r="N28" s="47"/>
      <c r="O28" s="47"/>
      <c r="P28" s="47"/>
      <c r="Q28" s="47"/>
      <c r="R28" s="26"/>
      <c r="S28" s="47">
        <f t="shared" si="4"/>
        <v>0</v>
      </c>
      <c r="T28" s="48"/>
      <c r="U28" s="47">
        <f t="shared" si="5"/>
        <v>0</v>
      </c>
      <c r="V28" s="48"/>
      <c r="W28" s="47">
        <f t="shared" si="6"/>
        <v>0</v>
      </c>
      <c r="X28" s="48"/>
      <c r="Y28" s="47">
        <f t="shared" si="7"/>
        <v>0</v>
      </c>
      <c r="Z28" s="48"/>
      <c r="AA28" s="47">
        <f t="shared" si="8"/>
        <v>0</v>
      </c>
      <c r="AB28" s="48"/>
      <c r="AC28" s="47">
        <f t="shared" si="9"/>
        <v>0</v>
      </c>
      <c r="AD28" s="48"/>
      <c r="AE28" s="47">
        <f t="shared" si="10"/>
        <v>0</v>
      </c>
      <c r="AF28" s="48"/>
      <c r="AG28" s="26"/>
      <c r="AH28" s="47">
        <f t="shared" si="11"/>
        <v>0</v>
      </c>
      <c r="AI28" s="48"/>
      <c r="AJ28" s="47">
        <f t="shared" si="12"/>
        <v>0</v>
      </c>
      <c r="AK28" s="48"/>
      <c r="AL28" s="47">
        <f t="shared" si="13"/>
        <v>0</v>
      </c>
      <c r="AM28" s="48"/>
      <c r="AN28" s="47">
        <f t="shared" si="14"/>
        <v>0</v>
      </c>
      <c r="AO28" s="48"/>
      <c r="AP28" s="47">
        <f t="shared" si="15"/>
        <v>0</v>
      </c>
      <c r="AQ28" s="48"/>
      <c r="AR28" s="47">
        <f t="shared" si="16"/>
        <v>0</v>
      </c>
      <c r="AS28" s="48"/>
      <c r="AT28" s="26"/>
      <c r="AU28" s="60"/>
      <c r="AV28" s="50">
        <f t="shared" si="17"/>
        <v>0</v>
      </c>
      <c r="AW28" s="51"/>
      <c r="AX28" s="47">
        <f t="shared" si="18"/>
        <v>0</v>
      </c>
      <c r="AY28" s="50">
        <f t="shared" si="19"/>
        <v>0</v>
      </c>
      <c r="AZ28" s="47">
        <f t="shared" si="20"/>
        <v>0</v>
      </c>
      <c r="BA28" s="52">
        <f t="shared" si="21"/>
        <v>0</v>
      </c>
      <c r="BB28" s="26"/>
      <c r="BC28" s="45" t="str">
        <f t="shared" si="22"/>
        <v/>
      </c>
      <c r="BD28" s="43"/>
      <c r="BE28" s="45">
        <f t="shared" si="23"/>
        <v>0</v>
      </c>
      <c r="BF28" s="45">
        <f t="shared" si="24"/>
        <v>0</v>
      </c>
      <c r="BG28" s="53">
        <f t="shared" si="25"/>
        <v>0</v>
      </c>
      <c r="BH28" s="26"/>
    </row>
    <row r="29">
      <c r="A29" s="58"/>
      <c r="B29" s="26"/>
      <c r="C29" s="29"/>
      <c r="D29" s="54"/>
      <c r="E29" s="29">
        <f t="shared" si="1"/>
        <v>0</v>
      </c>
      <c r="F29" s="32"/>
      <c r="G29" s="29"/>
      <c r="H29" s="29"/>
      <c r="I29" s="31">
        <f t="shared" si="2"/>
        <v>0</v>
      </c>
      <c r="J29" s="32">
        <f t="shared" si="3"/>
        <v>0</v>
      </c>
      <c r="K29" s="26"/>
      <c r="L29" s="29"/>
      <c r="M29" s="34"/>
      <c r="N29" s="34"/>
      <c r="O29" s="34"/>
      <c r="P29" s="34"/>
      <c r="Q29" s="34"/>
      <c r="R29" s="26"/>
      <c r="S29" s="34">
        <f t="shared" si="4"/>
        <v>0</v>
      </c>
      <c r="T29" s="54"/>
      <c r="U29" s="34">
        <f t="shared" si="5"/>
        <v>0</v>
      </c>
      <c r="V29" s="54"/>
      <c r="W29" s="34">
        <f t="shared" si="6"/>
        <v>0</v>
      </c>
      <c r="X29" s="54"/>
      <c r="Y29" s="34">
        <f t="shared" si="7"/>
        <v>0</v>
      </c>
      <c r="Z29" s="54"/>
      <c r="AA29" s="34">
        <f t="shared" si="8"/>
        <v>0</v>
      </c>
      <c r="AB29" s="54"/>
      <c r="AC29" s="34">
        <f t="shared" si="9"/>
        <v>0</v>
      </c>
      <c r="AD29" s="54"/>
      <c r="AE29" s="34">
        <f t="shared" si="10"/>
        <v>0</v>
      </c>
      <c r="AF29" s="54"/>
      <c r="AG29" s="26"/>
      <c r="AH29" s="34">
        <f t="shared" si="11"/>
        <v>0</v>
      </c>
      <c r="AI29" s="54"/>
      <c r="AJ29" s="34">
        <f t="shared" si="12"/>
        <v>0</v>
      </c>
      <c r="AK29" s="54"/>
      <c r="AL29" s="34">
        <f t="shared" si="13"/>
        <v>0</v>
      </c>
      <c r="AM29" s="54"/>
      <c r="AN29" s="34">
        <f t="shared" si="14"/>
        <v>0</v>
      </c>
      <c r="AO29" s="54"/>
      <c r="AP29" s="34">
        <f t="shared" si="15"/>
        <v>0</v>
      </c>
      <c r="AQ29" s="54"/>
      <c r="AR29" s="34">
        <f t="shared" si="16"/>
        <v>0</v>
      </c>
      <c r="AS29" s="54"/>
      <c r="AT29" s="26"/>
      <c r="AU29" s="59"/>
      <c r="AV29" s="33">
        <f t="shared" si="17"/>
        <v>0</v>
      </c>
      <c r="AW29" s="56"/>
      <c r="AX29" s="34">
        <f t="shared" si="18"/>
        <v>0</v>
      </c>
      <c r="AY29" s="33">
        <f t="shared" si="19"/>
        <v>0</v>
      </c>
      <c r="AZ29" s="34">
        <f t="shared" si="20"/>
        <v>0</v>
      </c>
      <c r="BA29" s="37">
        <f t="shared" si="21"/>
        <v>0</v>
      </c>
      <c r="BB29" s="26"/>
      <c r="BC29" s="31" t="str">
        <f t="shared" si="22"/>
        <v/>
      </c>
      <c r="BD29" s="29"/>
      <c r="BE29" s="31">
        <f t="shared" si="23"/>
        <v>0</v>
      </c>
      <c r="BF29" s="31">
        <f t="shared" si="24"/>
        <v>0</v>
      </c>
      <c r="BG29" s="39">
        <f t="shared" si="25"/>
        <v>0</v>
      </c>
      <c r="BH29" s="26"/>
    </row>
    <row r="30">
      <c r="A30" s="57"/>
      <c r="B30" s="26"/>
      <c r="C30" s="43"/>
      <c r="D30" s="48"/>
      <c r="E30" s="43">
        <f t="shared" si="1"/>
        <v>0</v>
      </c>
      <c r="F30" s="46"/>
      <c r="G30" s="43"/>
      <c r="H30" s="43"/>
      <c r="I30" s="45">
        <f t="shared" si="2"/>
        <v>0</v>
      </c>
      <c r="J30" s="46">
        <f t="shared" si="3"/>
        <v>0</v>
      </c>
      <c r="K30" s="26"/>
      <c r="L30" s="43"/>
      <c r="M30" s="47"/>
      <c r="N30" s="47"/>
      <c r="O30" s="47"/>
      <c r="P30" s="47"/>
      <c r="Q30" s="47"/>
      <c r="R30" s="26"/>
      <c r="S30" s="47">
        <f t="shared" si="4"/>
        <v>0</v>
      </c>
      <c r="T30" s="48"/>
      <c r="U30" s="47">
        <f t="shared" si="5"/>
        <v>0</v>
      </c>
      <c r="V30" s="48"/>
      <c r="W30" s="47">
        <f t="shared" si="6"/>
        <v>0</v>
      </c>
      <c r="X30" s="48"/>
      <c r="Y30" s="47">
        <f t="shared" si="7"/>
        <v>0</v>
      </c>
      <c r="Z30" s="48"/>
      <c r="AA30" s="47">
        <f t="shared" si="8"/>
        <v>0</v>
      </c>
      <c r="AB30" s="48"/>
      <c r="AC30" s="47">
        <f t="shared" si="9"/>
        <v>0</v>
      </c>
      <c r="AD30" s="48"/>
      <c r="AE30" s="47">
        <f t="shared" si="10"/>
        <v>0</v>
      </c>
      <c r="AF30" s="48"/>
      <c r="AG30" s="26"/>
      <c r="AH30" s="47">
        <f t="shared" si="11"/>
        <v>0</v>
      </c>
      <c r="AI30" s="48"/>
      <c r="AJ30" s="47">
        <f t="shared" si="12"/>
        <v>0</v>
      </c>
      <c r="AK30" s="48"/>
      <c r="AL30" s="47">
        <f t="shared" si="13"/>
        <v>0</v>
      </c>
      <c r="AM30" s="48"/>
      <c r="AN30" s="47">
        <f t="shared" si="14"/>
        <v>0</v>
      </c>
      <c r="AO30" s="48"/>
      <c r="AP30" s="47">
        <f t="shared" si="15"/>
        <v>0</v>
      </c>
      <c r="AQ30" s="48"/>
      <c r="AR30" s="47">
        <f t="shared" si="16"/>
        <v>0</v>
      </c>
      <c r="AS30" s="48"/>
      <c r="AT30" s="26"/>
      <c r="AU30" s="60"/>
      <c r="AV30" s="50">
        <f t="shared" si="17"/>
        <v>0</v>
      </c>
      <c r="AW30" s="51"/>
      <c r="AX30" s="47">
        <f t="shared" si="18"/>
        <v>0</v>
      </c>
      <c r="AY30" s="50">
        <f t="shared" si="19"/>
        <v>0</v>
      </c>
      <c r="AZ30" s="47">
        <f t="shared" si="20"/>
        <v>0</v>
      </c>
      <c r="BA30" s="52">
        <f t="shared" si="21"/>
        <v>0</v>
      </c>
      <c r="BB30" s="26"/>
      <c r="BC30" s="45" t="str">
        <f t="shared" si="22"/>
        <v/>
      </c>
      <c r="BD30" s="43"/>
      <c r="BE30" s="45">
        <f t="shared" si="23"/>
        <v>0</v>
      </c>
      <c r="BF30" s="45">
        <f t="shared" si="24"/>
        <v>0</v>
      </c>
      <c r="BG30" s="53">
        <f t="shared" si="25"/>
        <v>0</v>
      </c>
      <c r="BH30" s="26"/>
    </row>
    <row r="31">
      <c r="A31" s="58"/>
      <c r="B31" s="26"/>
      <c r="C31" s="29"/>
      <c r="D31" s="54"/>
      <c r="E31" s="29">
        <f t="shared" si="1"/>
        <v>0</v>
      </c>
      <c r="F31" s="32"/>
      <c r="G31" s="29"/>
      <c r="H31" s="29"/>
      <c r="I31" s="31">
        <f t="shared" si="2"/>
        <v>0</v>
      </c>
      <c r="J31" s="32">
        <f t="shared" si="3"/>
        <v>0</v>
      </c>
      <c r="K31" s="26"/>
      <c r="L31" s="29"/>
      <c r="M31" s="34"/>
      <c r="N31" s="34"/>
      <c r="O31" s="34"/>
      <c r="P31" s="34"/>
      <c r="Q31" s="34"/>
      <c r="R31" s="26"/>
      <c r="S31" s="34">
        <f t="shared" si="4"/>
        <v>0</v>
      </c>
      <c r="T31" s="54"/>
      <c r="U31" s="34">
        <f t="shared" si="5"/>
        <v>0</v>
      </c>
      <c r="V31" s="54"/>
      <c r="W31" s="34">
        <f t="shared" si="6"/>
        <v>0</v>
      </c>
      <c r="X31" s="54"/>
      <c r="Y31" s="34">
        <f t="shared" si="7"/>
        <v>0</v>
      </c>
      <c r="Z31" s="54"/>
      <c r="AA31" s="34">
        <f t="shared" si="8"/>
        <v>0</v>
      </c>
      <c r="AB31" s="54"/>
      <c r="AC31" s="34">
        <f t="shared" si="9"/>
        <v>0</v>
      </c>
      <c r="AD31" s="54"/>
      <c r="AE31" s="34">
        <f t="shared" si="10"/>
        <v>0</v>
      </c>
      <c r="AF31" s="54"/>
      <c r="AG31" s="26"/>
      <c r="AH31" s="34">
        <f t="shared" si="11"/>
        <v>0</v>
      </c>
      <c r="AI31" s="54"/>
      <c r="AJ31" s="34">
        <f t="shared" si="12"/>
        <v>0</v>
      </c>
      <c r="AK31" s="54"/>
      <c r="AL31" s="34">
        <f t="shared" si="13"/>
        <v>0</v>
      </c>
      <c r="AM31" s="54"/>
      <c r="AN31" s="34">
        <f t="shared" si="14"/>
        <v>0</v>
      </c>
      <c r="AO31" s="54"/>
      <c r="AP31" s="34">
        <f t="shared" si="15"/>
        <v>0</v>
      </c>
      <c r="AQ31" s="54"/>
      <c r="AR31" s="34">
        <f t="shared" si="16"/>
        <v>0</v>
      </c>
      <c r="AS31" s="54"/>
      <c r="AT31" s="26"/>
      <c r="AU31" s="59"/>
      <c r="AV31" s="33">
        <f t="shared" si="17"/>
        <v>0</v>
      </c>
      <c r="AW31" s="56"/>
      <c r="AX31" s="34">
        <f t="shared" si="18"/>
        <v>0</v>
      </c>
      <c r="AY31" s="33">
        <f t="shared" si="19"/>
        <v>0</v>
      </c>
      <c r="AZ31" s="34">
        <f t="shared" si="20"/>
        <v>0</v>
      </c>
      <c r="BA31" s="37">
        <f t="shared" si="21"/>
        <v>0</v>
      </c>
      <c r="BB31" s="26"/>
      <c r="BC31" s="31" t="str">
        <f t="shared" si="22"/>
        <v/>
      </c>
      <c r="BD31" s="29"/>
      <c r="BE31" s="31">
        <f t="shared" si="23"/>
        <v>0</v>
      </c>
      <c r="BF31" s="31">
        <f t="shared" si="24"/>
        <v>0</v>
      </c>
      <c r="BG31" s="39">
        <f t="shared" si="25"/>
        <v>0</v>
      </c>
      <c r="BH31" s="26"/>
    </row>
    <row r="32">
      <c r="A32" s="57"/>
      <c r="B32" s="26"/>
      <c r="C32" s="43"/>
      <c r="D32" s="48"/>
      <c r="E32" s="43">
        <f t="shared" si="1"/>
        <v>0</v>
      </c>
      <c r="F32" s="46"/>
      <c r="G32" s="43"/>
      <c r="H32" s="43"/>
      <c r="I32" s="45">
        <f t="shared" si="2"/>
        <v>0</v>
      </c>
      <c r="J32" s="46">
        <f t="shared" si="3"/>
        <v>0</v>
      </c>
      <c r="K32" s="26"/>
      <c r="L32" s="43"/>
      <c r="M32" s="47"/>
      <c r="N32" s="47"/>
      <c r="O32" s="47"/>
      <c r="P32" s="47"/>
      <c r="Q32" s="47"/>
      <c r="R32" s="26"/>
      <c r="S32" s="47">
        <f t="shared" si="4"/>
        <v>0</v>
      </c>
      <c r="T32" s="48"/>
      <c r="U32" s="47">
        <f t="shared" si="5"/>
        <v>0</v>
      </c>
      <c r="V32" s="48"/>
      <c r="W32" s="47">
        <f t="shared" si="6"/>
        <v>0</v>
      </c>
      <c r="X32" s="48"/>
      <c r="Y32" s="47">
        <f t="shared" si="7"/>
        <v>0</v>
      </c>
      <c r="Z32" s="48"/>
      <c r="AA32" s="47">
        <f t="shared" si="8"/>
        <v>0</v>
      </c>
      <c r="AB32" s="48"/>
      <c r="AC32" s="47">
        <f t="shared" si="9"/>
        <v>0</v>
      </c>
      <c r="AD32" s="48"/>
      <c r="AE32" s="47">
        <f t="shared" si="10"/>
        <v>0</v>
      </c>
      <c r="AF32" s="48"/>
      <c r="AG32" s="26"/>
      <c r="AH32" s="47">
        <f t="shared" si="11"/>
        <v>0</v>
      </c>
      <c r="AI32" s="48"/>
      <c r="AJ32" s="47">
        <f t="shared" si="12"/>
        <v>0</v>
      </c>
      <c r="AK32" s="48"/>
      <c r="AL32" s="47">
        <f t="shared" si="13"/>
        <v>0</v>
      </c>
      <c r="AM32" s="48"/>
      <c r="AN32" s="47">
        <f t="shared" si="14"/>
        <v>0</v>
      </c>
      <c r="AO32" s="48"/>
      <c r="AP32" s="47">
        <f t="shared" si="15"/>
        <v>0</v>
      </c>
      <c r="AQ32" s="48"/>
      <c r="AR32" s="47">
        <f t="shared" si="16"/>
        <v>0</v>
      </c>
      <c r="AS32" s="48"/>
      <c r="AT32" s="26"/>
      <c r="AU32" s="60"/>
      <c r="AV32" s="50">
        <f t="shared" si="17"/>
        <v>0</v>
      </c>
      <c r="AW32" s="51"/>
      <c r="AX32" s="47">
        <f t="shared" si="18"/>
        <v>0</v>
      </c>
      <c r="AY32" s="50">
        <f t="shared" si="19"/>
        <v>0</v>
      </c>
      <c r="AZ32" s="47">
        <f t="shared" si="20"/>
        <v>0</v>
      </c>
      <c r="BA32" s="52">
        <f t="shared" si="21"/>
        <v>0</v>
      </c>
      <c r="BB32" s="26"/>
      <c r="BC32" s="45" t="str">
        <f t="shared" si="22"/>
        <v/>
      </c>
      <c r="BD32" s="43"/>
      <c r="BE32" s="45">
        <f t="shared" si="23"/>
        <v>0</v>
      </c>
      <c r="BF32" s="45">
        <f t="shared" si="24"/>
        <v>0</v>
      </c>
      <c r="BG32" s="53">
        <f t="shared" si="25"/>
        <v>0</v>
      </c>
      <c r="BH32" s="26"/>
    </row>
    <row r="33">
      <c r="A33" s="58"/>
      <c r="B33" s="26"/>
      <c r="C33" s="29"/>
      <c r="D33" s="54"/>
      <c r="E33" s="29">
        <f t="shared" si="1"/>
        <v>0</v>
      </c>
      <c r="F33" s="32"/>
      <c r="G33" s="29"/>
      <c r="H33" s="29"/>
      <c r="I33" s="31">
        <f t="shared" si="2"/>
        <v>0</v>
      </c>
      <c r="J33" s="32">
        <f t="shared" si="3"/>
        <v>0</v>
      </c>
      <c r="K33" s="26"/>
      <c r="L33" s="29"/>
      <c r="M33" s="34"/>
      <c r="N33" s="34"/>
      <c r="O33" s="34"/>
      <c r="P33" s="34"/>
      <c r="Q33" s="34"/>
      <c r="R33" s="26"/>
      <c r="S33" s="34">
        <f t="shared" si="4"/>
        <v>0</v>
      </c>
      <c r="T33" s="54"/>
      <c r="U33" s="34">
        <f t="shared" si="5"/>
        <v>0</v>
      </c>
      <c r="V33" s="54"/>
      <c r="W33" s="34">
        <f t="shared" si="6"/>
        <v>0</v>
      </c>
      <c r="X33" s="54"/>
      <c r="Y33" s="34">
        <f t="shared" si="7"/>
        <v>0</v>
      </c>
      <c r="Z33" s="54"/>
      <c r="AA33" s="34">
        <f t="shared" si="8"/>
        <v>0</v>
      </c>
      <c r="AB33" s="54"/>
      <c r="AC33" s="34">
        <f t="shared" si="9"/>
        <v>0</v>
      </c>
      <c r="AD33" s="54"/>
      <c r="AE33" s="34">
        <f t="shared" si="10"/>
        <v>0</v>
      </c>
      <c r="AF33" s="54"/>
      <c r="AG33" s="26"/>
      <c r="AH33" s="34">
        <f t="shared" si="11"/>
        <v>0</v>
      </c>
      <c r="AI33" s="54"/>
      <c r="AJ33" s="34">
        <f t="shared" si="12"/>
        <v>0</v>
      </c>
      <c r="AK33" s="54"/>
      <c r="AL33" s="34">
        <f t="shared" si="13"/>
        <v>0</v>
      </c>
      <c r="AM33" s="54"/>
      <c r="AN33" s="34">
        <f t="shared" si="14"/>
        <v>0</v>
      </c>
      <c r="AO33" s="54"/>
      <c r="AP33" s="34">
        <f t="shared" si="15"/>
        <v>0</v>
      </c>
      <c r="AQ33" s="54"/>
      <c r="AR33" s="34">
        <f t="shared" si="16"/>
        <v>0</v>
      </c>
      <c r="AS33" s="54"/>
      <c r="AT33" s="26"/>
      <c r="AU33" s="59"/>
      <c r="AV33" s="33">
        <f t="shared" si="17"/>
        <v>0</v>
      </c>
      <c r="AW33" s="56"/>
      <c r="AX33" s="34">
        <f t="shared" si="18"/>
        <v>0</v>
      </c>
      <c r="AY33" s="33">
        <f t="shared" si="19"/>
        <v>0</v>
      </c>
      <c r="AZ33" s="34">
        <f t="shared" si="20"/>
        <v>0</v>
      </c>
      <c r="BA33" s="37">
        <f t="shared" si="21"/>
        <v>0</v>
      </c>
      <c r="BB33" s="26"/>
      <c r="BC33" s="31" t="str">
        <f t="shared" si="22"/>
        <v/>
      </c>
      <c r="BD33" s="29"/>
      <c r="BE33" s="31">
        <f t="shared" si="23"/>
        <v>0</v>
      </c>
      <c r="BF33" s="31">
        <f t="shared" si="24"/>
        <v>0</v>
      </c>
      <c r="BG33" s="39">
        <f t="shared" si="25"/>
        <v>0</v>
      </c>
      <c r="BH33" s="26"/>
    </row>
    <row r="34">
      <c r="A34" s="57"/>
      <c r="B34" s="26"/>
      <c r="C34" s="43"/>
      <c r="D34" s="48"/>
      <c r="E34" s="43">
        <f t="shared" si="1"/>
        <v>0</v>
      </c>
      <c r="F34" s="46"/>
      <c r="G34" s="43"/>
      <c r="H34" s="43"/>
      <c r="I34" s="45">
        <f t="shared" si="2"/>
        <v>0</v>
      </c>
      <c r="J34" s="46">
        <f t="shared" si="3"/>
        <v>0</v>
      </c>
      <c r="K34" s="26"/>
      <c r="L34" s="43"/>
      <c r="M34" s="47"/>
      <c r="N34" s="47"/>
      <c r="O34" s="47"/>
      <c r="P34" s="47"/>
      <c r="Q34" s="47"/>
      <c r="R34" s="26"/>
      <c r="S34" s="47">
        <f t="shared" si="4"/>
        <v>0</v>
      </c>
      <c r="T34" s="48"/>
      <c r="U34" s="47">
        <f t="shared" si="5"/>
        <v>0</v>
      </c>
      <c r="V34" s="48"/>
      <c r="W34" s="47">
        <f t="shared" si="6"/>
        <v>0</v>
      </c>
      <c r="X34" s="48"/>
      <c r="Y34" s="47">
        <f t="shared" si="7"/>
        <v>0</v>
      </c>
      <c r="Z34" s="48"/>
      <c r="AA34" s="47">
        <f t="shared" si="8"/>
        <v>0</v>
      </c>
      <c r="AB34" s="48"/>
      <c r="AC34" s="47">
        <f t="shared" si="9"/>
        <v>0</v>
      </c>
      <c r="AD34" s="48"/>
      <c r="AE34" s="47">
        <f t="shared" si="10"/>
        <v>0</v>
      </c>
      <c r="AF34" s="48"/>
      <c r="AG34" s="26"/>
      <c r="AH34" s="47">
        <f t="shared" si="11"/>
        <v>0</v>
      </c>
      <c r="AI34" s="48"/>
      <c r="AJ34" s="47">
        <f t="shared" si="12"/>
        <v>0</v>
      </c>
      <c r="AK34" s="48"/>
      <c r="AL34" s="47">
        <f t="shared" si="13"/>
        <v>0</v>
      </c>
      <c r="AM34" s="48"/>
      <c r="AN34" s="47">
        <f t="shared" si="14"/>
        <v>0</v>
      </c>
      <c r="AO34" s="48"/>
      <c r="AP34" s="47">
        <f t="shared" si="15"/>
        <v>0</v>
      </c>
      <c r="AQ34" s="48"/>
      <c r="AR34" s="47">
        <f t="shared" si="16"/>
        <v>0</v>
      </c>
      <c r="AS34" s="48"/>
      <c r="AT34" s="26"/>
      <c r="AU34" s="60"/>
      <c r="AV34" s="50">
        <f t="shared" si="17"/>
        <v>0</v>
      </c>
      <c r="AW34" s="51"/>
      <c r="AX34" s="47">
        <f t="shared" si="18"/>
        <v>0</v>
      </c>
      <c r="AY34" s="50">
        <f t="shared" si="19"/>
        <v>0</v>
      </c>
      <c r="AZ34" s="47">
        <f t="shared" si="20"/>
        <v>0</v>
      </c>
      <c r="BA34" s="52">
        <f t="shared" si="21"/>
        <v>0</v>
      </c>
      <c r="BB34" s="26"/>
      <c r="BC34" s="45" t="str">
        <f t="shared" si="22"/>
        <v/>
      </c>
      <c r="BD34" s="43"/>
      <c r="BE34" s="45">
        <f t="shared" si="23"/>
        <v>0</v>
      </c>
      <c r="BF34" s="45">
        <f t="shared" si="24"/>
        <v>0</v>
      </c>
      <c r="BG34" s="53">
        <f t="shared" si="25"/>
        <v>0</v>
      </c>
      <c r="BH34" s="26"/>
    </row>
    <row r="35">
      <c r="A35" s="58"/>
      <c r="B35" s="26"/>
      <c r="C35" s="29"/>
      <c r="D35" s="54"/>
      <c r="E35" s="29">
        <f t="shared" si="1"/>
        <v>0</v>
      </c>
      <c r="F35" s="32"/>
      <c r="G35" s="29"/>
      <c r="H35" s="29"/>
      <c r="I35" s="31">
        <f t="shared" si="2"/>
        <v>0</v>
      </c>
      <c r="J35" s="32">
        <f t="shared" si="3"/>
        <v>0</v>
      </c>
      <c r="K35" s="26"/>
      <c r="L35" s="29"/>
      <c r="M35" s="34"/>
      <c r="N35" s="34"/>
      <c r="O35" s="34"/>
      <c r="P35" s="34"/>
      <c r="Q35" s="34"/>
      <c r="R35" s="26"/>
      <c r="S35" s="34">
        <f t="shared" si="4"/>
        <v>0</v>
      </c>
      <c r="T35" s="54"/>
      <c r="U35" s="34">
        <f t="shared" si="5"/>
        <v>0</v>
      </c>
      <c r="V35" s="54"/>
      <c r="W35" s="34">
        <f t="shared" si="6"/>
        <v>0</v>
      </c>
      <c r="X35" s="54"/>
      <c r="Y35" s="34">
        <f t="shared" si="7"/>
        <v>0</v>
      </c>
      <c r="Z35" s="54"/>
      <c r="AA35" s="34">
        <f t="shared" si="8"/>
        <v>0</v>
      </c>
      <c r="AB35" s="54"/>
      <c r="AC35" s="34">
        <f t="shared" si="9"/>
        <v>0</v>
      </c>
      <c r="AD35" s="54"/>
      <c r="AE35" s="34">
        <f t="shared" si="10"/>
        <v>0</v>
      </c>
      <c r="AF35" s="54"/>
      <c r="AG35" s="26"/>
      <c r="AH35" s="34">
        <f t="shared" si="11"/>
        <v>0</v>
      </c>
      <c r="AI35" s="54"/>
      <c r="AJ35" s="34">
        <f t="shared" si="12"/>
        <v>0</v>
      </c>
      <c r="AK35" s="54"/>
      <c r="AL35" s="34">
        <f t="shared" si="13"/>
        <v>0</v>
      </c>
      <c r="AM35" s="54"/>
      <c r="AN35" s="34">
        <f t="shared" si="14"/>
        <v>0</v>
      </c>
      <c r="AO35" s="54"/>
      <c r="AP35" s="34">
        <f t="shared" si="15"/>
        <v>0</v>
      </c>
      <c r="AQ35" s="54"/>
      <c r="AR35" s="34">
        <f t="shared" si="16"/>
        <v>0</v>
      </c>
      <c r="AS35" s="54"/>
      <c r="AT35" s="26"/>
      <c r="AU35" s="59"/>
      <c r="AV35" s="33">
        <f t="shared" si="17"/>
        <v>0</v>
      </c>
      <c r="AW35" s="56"/>
      <c r="AX35" s="34">
        <f t="shared" si="18"/>
        <v>0</v>
      </c>
      <c r="AY35" s="33">
        <f t="shared" si="19"/>
        <v>0</v>
      </c>
      <c r="AZ35" s="34">
        <f t="shared" si="20"/>
        <v>0</v>
      </c>
      <c r="BA35" s="37">
        <f t="shared" si="21"/>
        <v>0</v>
      </c>
      <c r="BB35" s="26"/>
      <c r="BC35" s="31" t="str">
        <f t="shared" si="22"/>
        <v/>
      </c>
      <c r="BD35" s="29"/>
      <c r="BE35" s="31">
        <f t="shared" si="23"/>
        <v>0</v>
      </c>
      <c r="BF35" s="31">
        <f t="shared" si="24"/>
        <v>0</v>
      </c>
      <c r="BG35" s="39">
        <f t="shared" si="25"/>
        <v>0</v>
      </c>
      <c r="BH35" s="26"/>
    </row>
    <row r="36">
      <c r="A36" s="57"/>
      <c r="B36" s="26"/>
      <c r="C36" s="43"/>
      <c r="D36" s="48"/>
      <c r="E36" s="43">
        <f t="shared" si="1"/>
        <v>0</v>
      </c>
      <c r="F36" s="46"/>
      <c r="G36" s="43"/>
      <c r="H36" s="43"/>
      <c r="I36" s="45">
        <f t="shared" si="2"/>
        <v>0</v>
      </c>
      <c r="J36" s="46">
        <f t="shared" si="3"/>
        <v>0</v>
      </c>
      <c r="K36" s="26"/>
      <c r="L36" s="43"/>
      <c r="M36" s="47"/>
      <c r="N36" s="47"/>
      <c r="O36" s="47"/>
      <c r="P36" s="47"/>
      <c r="Q36" s="47"/>
      <c r="R36" s="26"/>
      <c r="S36" s="47">
        <f t="shared" si="4"/>
        <v>0</v>
      </c>
      <c r="T36" s="48"/>
      <c r="U36" s="47">
        <f t="shared" si="5"/>
        <v>0</v>
      </c>
      <c r="V36" s="48"/>
      <c r="W36" s="47">
        <f t="shared" si="6"/>
        <v>0</v>
      </c>
      <c r="X36" s="48"/>
      <c r="Y36" s="47">
        <f t="shared" si="7"/>
        <v>0</v>
      </c>
      <c r="Z36" s="48"/>
      <c r="AA36" s="47">
        <f t="shared" si="8"/>
        <v>0</v>
      </c>
      <c r="AB36" s="48"/>
      <c r="AC36" s="47">
        <f t="shared" si="9"/>
        <v>0</v>
      </c>
      <c r="AD36" s="48"/>
      <c r="AE36" s="47">
        <f t="shared" si="10"/>
        <v>0</v>
      </c>
      <c r="AF36" s="48"/>
      <c r="AG36" s="26"/>
      <c r="AH36" s="47">
        <f t="shared" si="11"/>
        <v>0</v>
      </c>
      <c r="AI36" s="48"/>
      <c r="AJ36" s="47">
        <f t="shared" si="12"/>
        <v>0</v>
      </c>
      <c r="AK36" s="48"/>
      <c r="AL36" s="47">
        <f t="shared" si="13"/>
        <v>0</v>
      </c>
      <c r="AM36" s="48"/>
      <c r="AN36" s="47">
        <f t="shared" si="14"/>
        <v>0</v>
      </c>
      <c r="AO36" s="48"/>
      <c r="AP36" s="47">
        <f t="shared" si="15"/>
        <v>0</v>
      </c>
      <c r="AQ36" s="48"/>
      <c r="AR36" s="47">
        <f t="shared" si="16"/>
        <v>0</v>
      </c>
      <c r="AS36" s="48"/>
      <c r="AT36" s="26"/>
      <c r="AU36" s="60"/>
      <c r="AV36" s="50">
        <f t="shared" si="17"/>
        <v>0</v>
      </c>
      <c r="AW36" s="51"/>
      <c r="AX36" s="47">
        <f t="shared" si="18"/>
        <v>0</v>
      </c>
      <c r="AY36" s="50">
        <f t="shared" si="19"/>
        <v>0</v>
      </c>
      <c r="AZ36" s="47">
        <f t="shared" si="20"/>
        <v>0</v>
      </c>
      <c r="BA36" s="52">
        <f t="shared" si="21"/>
        <v>0</v>
      </c>
      <c r="BB36" s="26"/>
      <c r="BC36" s="45" t="str">
        <f t="shared" si="22"/>
        <v/>
      </c>
      <c r="BD36" s="43"/>
      <c r="BE36" s="45">
        <f t="shared" si="23"/>
        <v>0</v>
      </c>
      <c r="BF36" s="45">
        <f t="shared" si="24"/>
        <v>0</v>
      </c>
      <c r="BG36" s="53">
        <f t="shared" si="25"/>
        <v>0</v>
      </c>
      <c r="BH36" s="26"/>
    </row>
    <row r="37">
      <c r="A37" s="58"/>
      <c r="B37" s="26"/>
      <c r="C37" s="29"/>
      <c r="D37" s="54"/>
      <c r="E37" s="29">
        <f t="shared" si="1"/>
        <v>0</v>
      </c>
      <c r="F37" s="32"/>
      <c r="G37" s="29"/>
      <c r="H37" s="29"/>
      <c r="I37" s="31">
        <f t="shared" si="2"/>
        <v>0</v>
      </c>
      <c r="J37" s="32">
        <f t="shared" si="3"/>
        <v>0</v>
      </c>
      <c r="K37" s="26"/>
      <c r="L37" s="29"/>
      <c r="M37" s="34"/>
      <c r="N37" s="34"/>
      <c r="O37" s="34"/>
      <c r="P37" s="34"/>
      <c r="Q37" s="34"/>
      <c r="R37" s="26"/>
      <c r="S37" s="34">
        <f t="shared" si="4"/>
        <v>0</v>
      </c>
      <c r="T37" s="54"/>
      <c r="U37" s="34">
        <f t="shared" si="5"/>
        <v>0</v>
      </c>
      <c r="V37" s="54"/>
      <c r="W37" s="34">
        <f t="shared" si="6"/>
        <v>0</v>
      </c>
      <c r="X37" s="54"/>
      <c r="Y37" s="34">
        <f t="shared" si="7"/>
        <v>0</v>
      </c>
      <c r="Z37" s="54"/>
      <c r="AA37" s="34">
        <f t="shared" si="8"/>
        <v>0</v>
      </c>
      <c r="AB37" s="54"/>
      <c r="AC37" s="34">
        <f t="shared" si="9"/>
        <v>0</v>
      </c>
      <c r="AD37" s="54"/>
      <c r="AE37" s="34">
        <f t="shared" si="10"/>
        <v>0</v>
      </c>
      <c r="AF37" s="54"/>
      <c r="AG37" s="26"/>
      <c r="AH37" s="34">
        <f t="shared" si="11"/>
        <v>0</v>
      </c>
      <c r="AI37" s="54"/>
      <c r="AJ37" s="34">
        <f t="shared" si="12"/>
        <v>0</v>
      </c>
      <c r="AK37" s="54"/>
      <c r="AL37" s="34">
        <f t="shared" si="13"/>
        <v>0</v>
      </c>
      <c r="AM37" s="54"/>
      <c r="AN37" s="34">
        <f t="shared" si="14"/>
        <v>0</v>
      </c>
      <c r="AO37" s="54"/>
      <c r="AP37" s="34">
        <f t="shared" si="15"/>
        <v>0</v>
      </c>
      <c r="AQ37" s="54"/>
      <c r="AR37" s="34">
        <f t="shared" si="16"/>
        <v>0</v>
      </c>
      <c r="AS37" s="54"/>
      <c r="AT37" s="26"/>
      <c r="AU37" s="59"/>
      <c r="AV37" s="33">
        <f t="shared" si="17"/>
        <v>0</v>
      </c>
      <c r="AW37" s="56"/>
      <c r="AX37" s="34">
        <f t="shared" si="18"/>
        <v>0</v>
      </c>
      <c r="AY37" s="33">
        <f t="shared" si="19"/>
        <v>0</v>
      </c>
      <c r="AZ37" s="34">
        <f t="shared" si="20"/>
        <v>0</v>
      </c>
      <c r="BA37" s="37">
        <f t="shared" si="21"/>
        <v>0</v>
      </c>
      <c r="BB37" s="26"/>
      <c r="BC37" s="31" t="str">
        <f t="shared" si="22"/>
        <v/>
      </c>
      <c r="BD37" s="29"/>
      <c r="BE37" s="31">
        <f t="shared" si="23"/>
        <v>0</v>
      </c>
      <c r="BF37" s="31">
        <f t="shared" si="24"/>
        <v>0</v>
      </c>
      <c r="BG37" s="39">
        <f t="shared" si="25"/>
        <v>0</v>
      </c>
      <c r="BH37" s="26"/>
    </row>
    <row r="38">
      <c r="A38" s="57"/>
      <c r="B38" s="26"/>
      <c r="C38" s="43"/>
      <c r="D38" s="48"/>
      <c r="E38" s="43">
        <f t="shared" si="1"/>
        <v>0</v>
      </c>
      <c r="F38" s="46"/>
      <c r="G38" s="43"/>
      <c r="H38" s="43"/>
      <c r="I38" s="45">
        <f t="shared" si="2"/>
        <v>0</v>
      </c>
      <c r="J38" s="46">
        <f t="shared" si="3"/>
        <v>0</v>
      </c>
      <c r="K38" s="26"/>
      <c r="L38" s="43"/>
      <c r="M38" s="47"/>
      <c r="N38" s="47"/>
      <c r="O38" s="47"/>
      <c r="P38" s="47"/>
      <c r="Q38" s="47"/>
      <c r="R38" s="26"/>
      <c r="S38" s="47">
        <f t="shared" si="4"/>
        <v>0</v>
      </c>
      <c r="T38" s="48"/>
      <c r="U38" s="47">
        <f t="shared" si="5"/>
        <v>0</v>
      </c>
      <c r="V38" s="48"/>
      <c r="W38" s="47">
        <f t="shared" si="6"/>
        <v>0</v>
      </c>
      <c r="X38" s="48"/>
      <c r="Y38" s="47">
        <f t="shared" si="7"/>
        <v>0</v>
      </c>
      <c r="Z38" s="48"/>
      <c r="AA38" s="47">
        <f t="shared" si="8"/>
        <v>0</v>
      </c>
      <c r="AB38" s="48"/>
      <c r="AC38" s="47">
        <f t="shared" si="9"/>
        <v>0</v>
      </c>
      <c r="AD38" s="48"/>
      <c r="AE38" s="47">
        <f t="shared" si="10"/>
        <v>0</v>
      </c>
      <c r="AF38" s="48"/>
      <c r="AG38" s="26"/>
      <c r="AH38" s="47">
        <f t="shared" si="11"/>
        <v>0</v>
      </c>
      <c r="AI38" s="48"/>
      <c r="AJ38" s="47">
        <f t="shared" si="12"/>
        <v>0</v>
      </c>
      <c r="AK38" s="48"/>
      <c r="AL38" s="47">
        <f t="shared" si="13"/>
        <v>0</v>
      </c>
      <c r="AM38" s="48"/>
      <c r="AN38" s="47">
        <f t="shared" si="14"/>
        <v>0</v>
      </c>
      <c r="AO38" s="48"/>
      <c r="AP38" s="47">
        <f t="shared" si="15"/>
        <v>0</v>
      </c>
      <c r="AQ38" s="48"/>
      <c r="AR38" s="47">
        <f t="shared" si="16"/>
        <v>0</v>
      </c>
      <c r="AS38" s="48"/>
      <c r="AT38" s="26"/>
      <c r="AU38" s="60"/>
      <c r="AV38" s="50">
        <f t="shared" si="17"/>
        <v>0</v>
      </c>
      <c r="AW38" s="51"/>
      <c r="AX38" s="47">
        <f t="shared" si="18"/>
        <v>0</v>
      </c>
      <c r="AY38" s="50">
        <f t="shared" si="19"/>
        <v>0</v>
      </c>
      <c r="AZ38" s="47">
        <f t="shared" si="20"/>
        <v>0</v>
      </c>
      <c r="BA38" s="52">
        <f t="shared" si="21"/>
        <v>0</v>
      </c>
      <c r="BB38" s="26"/>
      <c r="BC38" s="45" t="str">
        <f t="shared" si="22"/>
        <v/>
      </c>
      <c r="BD38" s="43"/>
      <c r="BE38" s="45">
        <f t="shared" si="23"/>
        <v>0</v>
      </c>
      <c r="BF38" s="45">
        <f t="shared" si="24"/>
        <v>0</v>
      </c>
      <c r="BG38" s="53">
        <f t="shared" si="25"/>
        <v>0</v>
      </c>
      <c r="BH38" s="26"/>
    </row>
    <row r="39">
      <c r="A39" s="58"/>
      <c r="B39" s="26"/>
      <c r="C39" s="29"/>
      <c r="D39" s="54"/>
      <c r="E39" s="29">
        <f t="shared" si="1"/>
        <v>0</v>
      </c>
      <c r="F39" s="32"/>
      <c r="G39" s="29"/>
      <c r="H39" s="29"/>
      <c r="I39" s="31">
        <f t="shared" si="2"/>
        <v>0</v>
      </c>
      <c r="J39" s="32">
        <f t="shared" si="3"/>
        <v>0</v>
      </c>
      <c r="K39" s="26"/>
      <c r="L39" s="29"/>
      <c r="M39" s="34"/>
      <c r="N39" s="34"/>
      <c r="O39" s="34"/>
      <c r="P39" s="34"/>
      <c r="Q39" s="34"/>
      <c r="R39" s="26"/>
      <c r="S39" s="34">
        <f t="shared" si="4"/>
        <v>0</v>
      </c>
      <c r="T39" s="54"/>
      <c r="U39" s="34">
        <f t="shared" si="5"/>
        <v>0</v>
      </c>
      <c r="V39" s="54"/>
      <c r="W39" s="34">
        <f t="shared" si="6"/>
        <v>0</v>
      </c>
      <c r="X39" s="54"/>
      <c r="Y39" s="34">
        <f t="shared" si="7"/>
        <v>0</v>
      </c>
      <c r="Z39" s="54"/>
      <c r="AA39" s="34">
        <f t="shared" si="8"/>
        <v>0</v>
      </c>
      <c r="AB39" s="54"/>
      <c r="AC39" s="34">
        <f t="shared" si="9"/>
        <v>0</v>
      </c>
      <c r="AD39" s="54"/>
      <c r="AE39" s="34">
        <f t="shared" si="10"/>
        <v>0</v>
      </c>
      <c r="AF39" s="54"/>
      <c r="AG39" s="26"/>
      <c r="AH39" s="34">
        <f t="shared" si="11"/>
        <v>0</v>
      </c>
      <c r="AI39" s="54"/>
      <c r="AJ39" s="34">
        <f t="shared" si="12"/>
        <v>0</v>
      </c>
      <c r="AK39" s="54"/>
      <c r="AL39" s="34">
        <f t="shared" si="13"/>
        <v>0</v>
      </c>
      <c r="AM39" s="54"/>
      <c r="AN39" s="34">
        <f t="shared" si="14"/>
        <v>0</v>
      </c>
      <c r="AO39" s="54"/>
      <c r="AP39" s="34">
        <f t="shared" si="15"/>
        <v>0</v>
      </c>
      <c r="AQ39" s="54"/>
      <c r="AR39" s="34">
        <f t="shared" si="16"/>
        <v>0</v>
      </c>
      <c r="AS39" s="54"/>
      <c r="AT39" s="26"/>
      <c r="AU39" s="59"/>
      <c r="AV39" s="33">
        <f t="shared" si="17"/>
        <v>0</v>
      </c>
      <c r="AW39" s="56"/>
      <c r="AX39" s="34">
        <f t="shared" si="18"/>
        <v>0</v>
      </c>
      <c r="AY39" s="33">
        <f t="shared" si="19"/>
        <v>0</v>
      </c>
      <c r="AZ39" s="34">
        <f t="shared" si="20"/>
        <v>0</v>
      </c>
      <c r="BA39" s="37">
        <f t="shared" si="21"/>
        <v>0</v>
      </c>
      <c r="BB39" s="26"/>
      <c r="BC39" s="31" t="str">
        <f t="shared" si="22"/>
        <v/>
      </c>
      <c r="BD39" s="29"/>
      <c r="BE39" s="31">
        <f t="shared" si="23"/>
        <v>0</v>
      </c>
      <c r="BF39" s="31">
        <f t="shared" si="24"/>
        <v>0</v>
      </c>
      <c r="BG39" s="39">
        <f t="shared" si="25"/>
        <v>0</v>
      </c>
      <c r="BH39" s="26"/>
    </row>
    <row r="40">
      <c r="A40" s="57"/>
      <c r="B40" s="26"/>
      <c r="C40" s="43"/>
      <c r="D40" s="48"/>
      <c r="E40" s="43">
        <f t="shared" si="1"/>
        <v>0</v>
      </c>
      <c r="F40" s="46"/>
      <c r="G40" s="43"/>
      <c r="H40" s="43"/>
      <c r="I40" s="45">
        <f t="shared" si="2"/>
        <v>0</v>
      </c>
      <c r="J40" s="46">
        <f t="shared" si="3"/>
        <v>0</v>
      </c>
      <c r="K40" s="26"/>
      <c r="L40" s="43"/>
      <c r="M40" s="47"/>
      <c r="N40" s="47"/>
      <c r="O40" s="47"/>
      <c r="P40" s="47"/>
      <c r="Q40" s="47"/>
      <c r="R40" s="26"/>
      <c r="S40" s="47">
        <f t="shared" si="4"/>
        <v>0</v>
      </c>
      <c r="T40" s="48"/>
      <c r="U40" s="47">
        <f t="shared" si="5"/>
        <v>0</v>
      </c>
      <c r="V40" s="48"/>
      <c r="W40" s="47">
        <f t="shared" si="6"/>
        <v>0</v>
      </c>
      <c r="X40" s="48"/>
      <c r="Y40" s="47">
        <f t="shared" si="7"/>
        <v>0</v>
      </c>
      <c r="Z40" s="48"/>
      <c r="AA40" s="47">
        <f t="shared" si="8"/>
        <v>0</v>
      </c>
      <c r="AB40" s="48"/>
      <c r="AC40" s="47">
        <f t="shared" si="9"/>
        <v>0</v>
      </c>
      <c r="AD40" s="48"/>
      <c r="AE40" s="47">
        <f t="shared" si="10"/>
        <v>0</v>
      </c>
      <c r="AF40" s="48"/>
      <c r="AG40" s="26"/>
      <c r="AH40" s="47">
        <f t="shared" si="11"/>
        <v>0</v>
      </c>
      <c r="AI40" s="48"/>
      <c r="AJ40" s="47">
        <f t="shared" si="12"/>
        <v>0</v>
      </c>
      <c r="AK40" s="48"/>
      <c r="AL40" s="47">
        <f t="shared" si="13"/>
        <v>0</v>
      </c>
      <c r="AM40" s="48"/>
      <c r="AN40" s="47">
        <f t="shared" si="14"/>
        <v>0</v>
      </c>
      <c r="AO40" s="48"/>
      <c r="AP40" s="47">
        <f t="shared" si="15"/>
        <v>0</v>
      </c>
      <c r="AQ40" s="48"/>
      <c r="AR40" s="47">
        <f t="shared" si="16"/>
        <v>0</v>
      </c>
      <c r="AS40" s="48"/>
      <c r="AT40" s="26"/>
      <c r="AU40" s="60"/>
      <c r="AV40" s="50">
        <f t="shared" si="17"/>
        <v>0</v>
      </c>
      <c r="AW40" s="51"/>
      <c r="AX40" s="47">
        <f t="shared" si="18"/>
        <v>0</v>
      </c>
      <c r="AY40" s="50">
        <f t="shared" si="19"/>
        <v>0</v>
      </c>
      <c r="AZ40" s="47">
        <f t="shared" si="20"/>
        <v>0</v>
      </c>
      <c r="BA40" s="52">
        <f t="shared" si="21"/>
        <v>0</v>
      </c>
      <c r="BB40" s="26"/>
      <c r="BC40" s="45" t="str">
        <f t="shared" si="22"/>
        <v/>
      </c>
      <c r="BD40" s="43"/>
      <c r="BE40" s="45">
        <f t="shared" si="23"/>
        <v>0</v>
      </c>
      <c r="BF40" s="45">
        <f t="shared" si="24"/>
        <v>0</v>
      </c>
      <c r="BG40" s="53">
        <f t="shared" si="25"/>
        <v>0</v>
      </c>
      <c r="BH40" s="26"/>
    </row>
    <row r="41">
      <c r="A41" s="58"/>
      <c r="B41" s="26"/>
      <c r="C41" s="29"/>
      <c r="D41" s="54"/>
      <c r="E41" s="29">
        <f t="shared" si="1"/>
        <v>0</v>
      </c>
      <c r="F41" s="32"/>
      <c r="G41" s="29"/>
      <c r="H41" s="29"/>
      <c r="I41" s="31">
        <f t="shared" si="2"/>
        <v>0</v>
      </c>
      <c r="J41" s="32">
        <f t="shared" si="3"/>
        <v>0</v>
      </c>
      <c r="K41" s="26"/>
      <c r="L41" s="29"/>
      <c r="M41" s="34"/>
      <c r="N41" s="34"/>
      <c r="O41" s="34"/>
      <c r="P41" s="34"/>
      <c r="Q41" s="34"/>
      <c r="R41" s="26"/>
      <c r="S41" s="34">
        <f t="shared" si="4"/>
        <v>0</v>
      </c>
      <c r="T41" s="54"/>
      <c r="U41" s="34">
        <f t="shared" si="5"/>
        <v>0</v>
      </c>
      <c r="V41" s="54"/>
      <c r="W41" s="34">
        <f t="shared" si="6"/>
        <v>0</v>
      </c>
      <c r="X41" s="54"/>
      <c r="Y41" s="34">
        <f t="shared" si="7"/>
        <v>0</v>
      </c>
      <c r="Z41" s="54"/>
      <c r="AA41" s="34">
        <f t="shared" si="8"/>
        <v>0</v>
      </c>
      <c r="AB41" s="54"/>
      <c r="AC41" s="34">
        <f t="shared" si="9"/>
        <v>0</v>
      </c>
      <c r="AD41" s="54"/>
      <c r="AE41" s="34">
        <f t="shared" si="10"/>
        <v>0</v>
      </c>
      <c r="AF41" s="54"/>
      <c r="AG41" s="26"/>
      <c r="AH41" s="34">
        <f t="shared" si="11"/>
        <v>0</v>
      </c>
      <c r="AI41" s="54"/>
      <c r="AJ41" s="34">
        <f t="shared" si="12"/>
        <v>0</v>
      </c>
      <c r="AK41" s="54"/>
      <c r="AL41" s="34">
        <f t="shared" si="13"/>
        <v>0</v>
      </c>
      <c r="AM41" s="54"/>
      <c r="AN41" s="34">
        <f t="shared" si="14"/>
        <v>0</v>
      </c>
      <c r="AO41" s="54"/>
      <c r="AP41" s="34">
        <f t="shared" si="15"/>
        <v>0</v>
      </c>
      <c r="AQ41" s="54"/>
      <c r="AR41" s="34">
        <f t="shared" si="16"/>
        <v>0</v>
      </c>
      <c r="AS41" s="54"/>
      <c r="AT41" s="26"/>
      <c r="AU41" s="59"/>
      <c r="AV41" s="33">
        <f t="shared" si="17"/>
        <v>0</v>
      </c>
      <c r="AW41" s="56"/>
      <c r="AX41" s="34">
        <f t="shared" si="18"/>
        <v>0</v>
      </c>
      <c r="AY41" s="33">
        <f t="shared" si="19"/>
        <v>0</v>
      </c>
      <c r="AZ41" s="34">
        <f t="shared" si="20"/>
        <v>0</v>
      </c>
      <c r="BA41" s="37">
        <f t="shared" si="21"/>
        <v>0</v>
      </c>
      <c r="BB41" s="26"/>
      <c r="BC41" s="31" t="str">
        <f t="shared" si="22"/>
        <v/>
      </c>
      <c r="BD41" s="29"/>
      <c r="BE41" s="31">
        <f t="shared" si="23"/>
        <v>0</v>
      </c>
      <c r="BF41" s="31">
        <f t="shared" si="24"/>
        <v>0</v>
      </c>
      <c r="BG41" s="39">
        <f t="shared" si="25"/>
        <v>0</v>
      </c>
      <c r="BH41" s="26"/>
    </row>
    <row r="42">
      <c r="A42" s="57"/>
      <c r="B42" s="26"/>
      <c r="C42" s="43"/>
      <c r="D42" s="48"/>
      <c r="E42" s="43">
        <f t="shared" si="1"/>
        <v>0</v>
      </c>
      <c r="F42" s="46"/>
      <c r="G42" s="43"/>
      <c r="H42" s="43"/>
      <c r="I42" s="45">
        <f t="shared" si="2"/>
        <v>0</v>
      </c>
      <c r="J42" s="46">
        <f t="shared" si="3"/>
        <v>0</v>
      </c>
      <c r="K42" s="26"/>
      <c r="L42" s="43"/>
      <c r="M42" s="47"/>
      <c r="N42" s="47"/>
      <c r="O42" s="47"/>
      <c r="P42" s="47"/>
      <c r="Q42" s="47"/>
      <c r="R42" s="26"/>
      <c r="S42" s="47">
        <f t="shared" si="4"/>
        <v>0</v>
      </c>
      <c r="T42" s="48"/>
      <c r="U42" s="47">
        <f t="shared" si="5"/>
        <v>0</v>
      </c>
      <c r="V42" s="48"/>
      <c r="W42" s="47">
        <f t="shared" si="6"/>
        <v>0</v>
      </c>
      <c r="X42" s="48"/>
      <c r="Y42" s="47">
        <f t="shared" si="7"/>
        <v>0</v>
      </c>
      <c r="Z42" s="48"/>
      <c r="AA42" s="47">
        <f t="shared" si="8"/>
        <v>0</v>
      </c>
      <c r="AB42" s="48"/>
      <c r="AC42" s="47">
        <f t="shared" si="9"/>
        <v>0</v>
      </c>
      <c r="AD42" s="48"/>
      <c r="AE42" s="47">
        <f t="shared" si="10"/>
        <v>0</v>
      </c>
      <c r="AF42" s="48"/>
      <c r="AG42" s="26"/>
      <c r="AH42" s="47">
        <f t="shared" si="11"/>
        <v>0</v>
      </c>
      <c r="AI42" s="48"/>
      <c r="AJ42" s="47">
        <f t="shared" si="12"/>
        <v>0</v>
      </c>
      <c r="AK42" s="48"/>
      <c r="AL42" s="47">
        <f t="shared" si="13"/>
        <v>0</v>
      </c>
      <c r="AM42" s="48"/>
      <c r="AN42" s="47">
        <f t="shared" si="14"/>
        <v>0</v>
      </c>
      <c r="AO42" s="48"/>
      <c r="AP42" s="47">
        <f t="shared" si="15"/>
        <v>0</v>
      </c>
      <c r="AQ42" s="48"/>
      <c r="AR42" s="47">
        <f t="shared" si="16"/>
        <v>0</v>
      </c>
      <c r="AS42" s="48"/>
      <c r="AT42" s="26"/>
      <c r="AU42" s="60"/>
      <c r="AV42" s="50">
        <f t="shared" si="17"/>
        <v>0</v>
      </c>
      <c r="AW42" s="51"/>
      <c r="AX42" s="47">
        <f t="shared" si="18"/>
        <v>0</v>
      </c>
      <c r="AY42" s="50">
        <f t="shared" si="19"/>
        <v>0</v>
      </c>
      <c r="AZ42" s="47">
        <f t="shared" si="20"/>
        <v>0</v>
      </c>
      <c r="BA42" s="52">
        <f t="shared" si="21"/>
        <v>0</v>
      </c>
      <c r="BB42" s="26"/>
      <c r="BC42" s="45" t="str">
        <f t="shared" si="22"/>
        <v/>
      </c>
      <c r="BD42" s="43"/>
      <c r="BE42" s="45">
        <f t="shared" si="23"/>
        <v>0</v>
      </c>
      <c r="BF42" s="45">
        <f t="shared" si="24"/>
        <v>0</v>
      </c>
      <c r="BG42" s="53">
        <f t="shared" si="25"/>
        <v>0</v>
      </c>
      <c r="BH42" s="26"/>
    </row>
    <row r="43">
      <c r="A43" s="58"/>
      <c r="B43" s="26"/>
      <c r="C43" s="29"/>
      <c r="D43" s="54"/>
      <c r="E43" s="29">
        <f t="shared" si="1"/>
        <v>0</v>
      </c>
      <c r="F43" s="32"/>
      <c r="G43" s="29"/>
      <c r="H43" s="29"/>
      <c r="I43" s="31">
        <f t="shared" si="2"/>
        <v>0</v>
      </c>
      <c r="J43" s="32">
        <f t="shared" si="3"/>
        <v>0</v>
      </c>
      <c r="K43" s="26"/>
      <c r="L43" s="29"/>
      <c r="M43" s="34"/>
      <c r="N43" s="34"/>
      <c r="O43" s="34"/>
      <c r="P43" s="34"/>
      <c r="Q43" s="34"/>
      <c r="R43" s="26"/>
      <c r="S43" s="34">
        <f t="shared" si="4"/>
        <v>0</v>
      </c>
      <c r="T43" s="54"/>
      <c r="U43" s="34">
        <f t="shared" si="5"/>
        <v>0</v>
      </c>
      <c r="V43" s="54"/>
      <c r="W43" s="34">
        <f t="shared" si="6"/>
        <v>0</v>
      </c>
      <c r="X43" s="54"/>
      <c r="Y43" s="34">
        <f t="shared" si="7"/>
        <v>0</v>
      </c>
      <c r="Z43" s="54"/>
      <c r="AA43" s="34">
        <f t="shared" si="8"/>
        <v>0</v>
      </c>
      <c r="AB43" s="54"/>
      <c r="AC43" s="34">
        <f t="shared" si="9"/>
        <v>0</v>
      </c>
      <c r="AD43" s="54"/>
      <c r="AE43" s="34">
        <f t="shared" si="10"/>
        <v>0</v>
      </c>
      <c r="AF43" s="54"/>
      <c r="AG43" s="26"/>
      <c r="AH43" s="34">
        <f t="shared" si="11"/>
        <v>0</v>
      </c>
      <c r="AI43" s="54"/>
      <c r="AJ43" s="34">
        <f t="shared" si="12"/>
        <v>0</v>
      </c>
      <c r="AK43" s="54"/>
      <c r="AL43" s="34">
        <f t="shared" si="13"/>
        <v>0</v>
      </c>
      <c r="AM43" s="54"/>
      <c r="AN43" s="34">
        <f t="shared" si="14"/>
        <v>0</v>
      </c>
      <c r="AO43" s="54"/>
      <c r="AP43" s="34">
        <f t="shared" si="15"/>
        <v>0</v>
      </c>
      <c r="AQ43" s="54"/>
      <c r="AR43" s="34">
        <f t="shared" si="16"/>
        <v>0</v>
      </c>
      <c r="AS43" s="54"/>
      <c r="AT43" s="26"/>
      <c r="AU43" s="59"/>
      <c r="AV43" s="33">
        <f t="shared" si="17"/>
        <v>0</v>
      </c>
      <c r="AW43" s="56"/>
      <c r="AX43" s="34">
        <f t="shared" si="18"/>
        <v>0</v>
      </c>
      <c r="AY43" s="33">
        <f t="shared" si="19"/>
        <v>0</v>
      </c>
      <c r="AZ43" s="34">
        <f t="shared" si="20"/>
        <v>0</v>
      </c>
      <c r="BA43" s="37">
        <f t="shared" si="21"/>
        <v>0</v>
      </c>
      <c r="BB43" s="26"/>
      <c r="BC43" s="31" t="str">
        <f t="shared" si="22"/>
        <v/>
      </c>
      <c r="BD43" s="29"/>
      <c r="BE43" s="31">
        <f t="shared" si="23"/>
        <v>0</v>
      </c>
      <c r="BF43" s="31">
        <f t="shared" si="24"/>
        <v>0</v>
      </c>
      <c r="BG43" s="39">
        <f t="shared" si="25"/>
        <v>0</v>
      </c>
      <c r="BH43" s="26"/>
    </row>
    <row r="44">
      <c r="A44" s="57"/>
      <c r="B44" s="26"/>
      <c r="C44" s="43"/>
      <c r="D44" s="48"/>
      <c r="E44" s="43">
        <f t="shared" si="1"/>
        <v>0</v>
      </c>
      <c r="F44" s="46"/>
      <c r="G44" s="43"/>
      <c r="H44" s="43"/>
      <c r="I44" s="43"/>
      <c r="J44" s="46">
        <f t="shared" si="3"/>
        <v>0</v>
      </c>
      <c r="K44" s="26"/>
      <c r="L44" s="43"/>
      <c r="M44" s="47"/>
      <c r="N44" s="47"/>
      <c r="O44" s="47"/>
      <c r="P44" s="47"/>
      <c r="Q44" s="47"/>
      <c r="R44" s="26"/>
      <c r="S44" s="47">
        <f t="shared" si="4"/>
        <v>0</v>
      </c>
      <c r="T44" s="48"/>
      <c r="U44" s="47">
        <f t="shared" si="5"/>
        <v>0</v>
      </c>
      <c r="V44" s="48"/>
      <c r="W44" s="47">
        <f t="shared" si="6"/>
        <v>0</v>
      </c>
      <c r="X44" s="48"/>
      <c r="Y44" s="47">
        <f t="shared" si="7"/>
        <v>0</v>
      </c>
      <c r="Z44" s="48"/>
      <c r="AA44" s="47">
        <f t="shared" si="8"/>
        <v>0</v>
      </c>
      <c r="AB44" s="48"/>
      <c r="AC44" s="47">
        <f t="shared" si="9"/>
        <v>0</v>
      </c>
      <c r="AD44" s="48"/>
      <c r="AE44" s="47">
        <f t="shared" si="10"/>
        <v>0</v>
      </c>
      <c r="AF44" s="48"/>
      <c r="AG44" s="26"/>
      <c r="AH44" s="47">
        <f t="shared" si="11"/>
        <v>0</v>
      </c>
      <c r="AI44" s="48"/>
      <c r="AJ44" s="47">
        <f t="shared" si="12"/>
        <v>0</v>
      </c>
      <c r="AK44" s="48"/>
      <c r="AL44" s="47">
        <f t="shared" si="13"/>
        <v>0</v>
      </c>
      <c r="AM44" s="48"/>
      <c r="AN44" s="47">
        <f t="shared" si="14"/>
        <v>0</v>
      </c>
      <c r="AO44" s="48"/>
      <c r="AP44" s="47">
        <f t="shared" si="15"/>
        <v>0</v>
      </c>
      <c r="AQ44" s="48"/>
      <c r="AR44" s="47">
        <f t="shared" si="16"/>
        <v>0</v>
      </c>
      <c r="AS44" s="48"/>
      <c r="AT44" s="26"/>
      <c r="AU44" s="60"/>
      <c r="AV44" s="50">
        <f t="shared" si="17"/>
        <v>0</v>
      </c>
      <c r="AW44" s="51"/>
      <c r="AX44" s="47">
        <f t="shared" si="18"/>
        <v>0</v>
      </c>
      <c r="AY44" s="50">
        <f t="shared" si="19"/>
        <v>0</v>
      </c>
      <c r="AZ44" s="47">
        <f t="shared" si="20"/>
        <v>0</v>
      </c>
      <c r="BA44" s="52">
        <f t="shared" si="21"/>
        <v>0</v>
      </c>
      <c r="BB44" s="26"/>
      <c r="BC44" s="45" t="str">
        <f t="shared" si="22"/>
        <v/>
      </c>
      <c r="BD44" s="43"/>
      <c r="BE44" s="45">
        <f t="shared" si="23"/>
        <v>0</v>
      </c>
      <c r="BF44" s="45">
        <f t="shared" si="24"/>
        <v>0</v>
      </c>
      <c r="BG44" s="53">
        <f t="shared" si="25"/>
        <v>0</v>
      </c>
      <c r="BH44" s="26"/>
    </row>
    <row r="45">
      <c r="A45" s="58"/>
      <c r="B45" s="26"/>
      <c r="C45" s="29"/>
      <c r="D45" s="54"/>
      <c r="E45" s="29">
        <f t="shared" si="1"/>
        <v>0</v>
      </c>
      <c r="F45" s="32"/>
      <c r="G45" s="29"/>
      <c r="H45" s="29"/>
      <c r="I45" s="29"/>
      <c r="J45" s="32">
        <f t="shared" si="3"/>
        <v>0</v>
      </c>
      <c r="K45" s="26"/>
      <c r="L45" s="29"/>
      <c r="M45" s="34"/>
      <c r="N45" s="34"/>
      <c r="O45" s="34"/>
      <c r="P45" s="34"/>
      <c r="Q45" s="34"/>
      <c r="R45" s="26"/>
      <c r="S45" s="34">
        <f t="shared" si="4"/>
        <v>0</v>
      </c>
      <c r="T45" s="54"/>
      <c r="U45" s="34">
        <f t="shared" si="5"/>
        <v>0</v>
      </c>
      <c r="V45" s="54"/>
      <c r="W45" s="34">
        <f t="shared" si="6"/>
        <v>0</v>
      </c>
      <c r="X45" s="54"/>
      <c r="Y45" s="34">
        <f t="shared" si="7"/>
        <v>0</v>
      </c>
      <c r="Z45" s="54"/>
      <c r="AA45" s="34">
        <f t="shared" si="8"/>
        <v>0</v>
      </c>
      <c r="AB45" s="54"/>
      <c r="AC45" s="34">
        <f t="shared" si="9"/>
        <v>0</v>
      </c>
      <c r="AD45" s="54"/>
      <c r="AE45" s="34">
        <f t="shared" si="10"/>
        <v>0</v>
      </c>
      <c r="AF45" s="54"/>
      <c r="AG45" s="26"/>
      <c r="AH45" s="34">
        <f t="shared" si="11"/>
        <v>0</v>
      </c>
      <c r="AI45" s="54"/>
      <c r="AJ45" s="34">
        <f t="shared" si="12"/>
        <v>0</v>
      </c>
      <c r="AK45" s="54"/>
      <c r="AL45" s="34">
        <f t="shared" si="13"/>
        <v>0</v>
      </c>
      <c r="AM45" s="54"/>
      <c r="AN45" s="34">
        <f t="shared" si="14"/>
        <v>0</v>
      </c>
      <c r="AO45" s="54"/>
      <c r="AP45" s="34">
        <f t="shared" si="15"/>
        <v>0</v>
      </c>
      <c r="AQ45" s="54"/>
      <c r="AR45" s="34">
        <f t="shared" si="16"/>
        <v>0</v>
      </c>
      <c r="AS45" s="54"/>
      <c r="AT45" s="26"/>
      <c r="AU45" s="59"/>
      <c r="AV45" s="33">
        <f t="shared" si="17"/>
        <v>0</v>
      </c>
      <c r="AW45" s="56"/>
      <c r="AX45" s="34">
        <f t="shared" si="18"/>
        <v>0</v>
      </c>
      <c r="AY45" s="33">
        <f t="shared" si="19"/>
        <v>0</v>
      </c>
      <c r="AZ45" s="34">
        <f t="shared" si="20"/>
        <v>0</v>
      </c>
      <c r="BA45" s="37">
        <f t="shared" si="21"/>
        <v>0</v>
      </c>
      <c r="BB45" s="26"/>
      <c r="BC45" s="31" t="str">
        <f t="shared" si="22"/>
        <v/>
      </c>
      <c r="BD45" s="29"/>
      <c r="BE45" s="31">
        <f t="shared" si="23"/>
        <v>0</v>
      </c>
      <c r="BF45" s="31">
        <f t="shared" si="24"/>
        <v>0</v>
      </c>
      <c r="BG45" s="39">
        <f t="shared" si="25"/>
        <v>0</v>
      </c>
      <c r="BH45" s="26"/>
    </row>
    <row r="46">
      <c r="A46" s="57"/>
      <c r="B46" s="26"/>
      <c r="C46" s="43"/>
      <c r="D46" s="48"/>
      <c r="E46" s="43">
        <f t="shared" si="1"/>
        <v>0</v>
      </c>
      <c r="F46" s="46"/>
      <c r="G46" s="43"/>
      <c r="H46" s="43"/>
      <c r="I46" s="43"/>
      <c r="J46" s="46">
        <f t="shared" si="3"/>
        <v>0</v>
      </c>
      <c r="K46" s="26"/>
      <c r="L46" s="43"/>
      <c r="M46" s="47"/>
      <c r="N46" s="47"/>
      <c r="O46" s="47"/>
      <c r="P46" s="47"/>
      <c r="Q46" s="47"/>
      <c r="R46" s="26"/>
      <c r="S46" s="47">
        <f t="shared" si="4"/>
        <v>0</v>
      </c>
      <c r="T46" s="48"/>
      <c r="U46" s="47">
        <f t="shared" si="5"/>
        <v>0</v>
      </c>
      <c r="V46" s="48"/>
      <c r="W46" s="47">
        <f t="shared" si="6"/>
        <v>0</v>
      </c>
      <c r="X46" s="48"/>
      <c r="Y46" s="47">
        <f t="shared" si="7"/>
        <v>0</v>
      </c>
      <c r="Z46" s="48"/>
      <c r="AA46" s="47">
        <f t="shared" si="8"/>
        <v>0</v>
      </c>
      <c r="AB46" s="48"/>
      <c r="AC46" s="47">
        <f t="shared" si="9"/>
        <v>0</v>
      </c>
      <c r="AD46" s="48"/>
      <c r="AE46" s="47">
        <f t="shared" si="10"/>
        <v>0</v>
      </c>
      <c r="AF46" s="48"/>
      <c r="AG46" s="26"/>
      <c r="AH46" s="47">
        <f t="shared" si="11"/>
        <v>0</v>
      </c>
      <c r="AI46" s="48"/>
      <c r="AJ46" s="47">
        <f t="shared" si="12"/>
        <v>0</v>
      </c>
      <c r="AK46" s="48"/>
      <c r="AL46" s="47">
        <f t="shared" si="13"/>
        <v>0</v>
      </c>
      <c r="AM46" s="48"/>
      <c r="AN46" s="47">
        <f t="shared" si="14"/>
        <v>0</v>
      </c>
      <c r="AO46" s="48"/>
      <c r="AP46" s="47">
        <f t="shared" si="15"/>
        <v>0</v>
      </c>
      <c r="AQ46" s="48"/>
      <c r="AR46" s="47">
        <f t="shared" si="16"/>
        <v>0</v>
      </c>
      <c r="AS46" s="48"/>
      <c r="AT46" s="26"/>
      <c r="AU46" s="60"/>
      <c r="AV46" s="50">
        <f t="shared" si="17"/>
        <v>0</v>
      </c>
      <c r="AW46" s="51"/>
      <c r="AX46" s="47">
        <f t="shared" si="18"/>
        <v>0</v>
      </c>
      <c r="AY46" s="50">
        <f t="shared" si="19"/>
        <v>0</v>
      </c>
      <c r="AZ46" s="47">
        <f t="shared" si="20"/>
        <v>0</v>
      </c>
      <c r="BA46" s="52">
        <f t="shared" si="21"/>
        <v>0</v>
      </c>
      <c r="BB46" s="26"/>
      <c r="BC46" s="45" t="str">
        <f t="shared" si="22"/>
        <v/>
      </c>
      <c r="BD46" s="43"/>
      <c r="BE46" s="45">
        <f t="shared" si="23"/>
        <v>0</v>
      </c>
      <c r="BF46" s="45">
        <f t="shared" si="24"/>
        <v>0</v>
      </c>
      <c r="BG46" s="53">
        <f t="shared" si="25"/>
        <v>0</v>
      </c>
      <c r="BH46" s="26"/>
    </row>
    <row r="47">
      <c r="A47" s="58"/>
      <c r="B47" s="26"/>
      <c r="C47" s="29"/>
      <c r="D47" s="54"/>
      <c r="E47" s="29">
        <f t="shared" si="1"/>
        <v>0</v>
      </c>
      <c r="F47" s="32"/>
      <c r="G47" s="29"/>
      <c r="H47" s="29"/>
      <c r="I47" s="29"/>
      <c r="J47" s="32">
        <f t="shared" si="3"/>
        <v>0</v>
      </c>
      <c r="K47" s="26"/>
      <c r="L47" s="29"/>
      <c r="M47" s="34"/>
      <c r="N47" s="34"/>
      <c r="O47" s="34"/>
      <c r="P47" s="34"/>
      <c r="Q47" s="34"/>
      <c r="R47" s="26"/>
      <c r="S47" s="34">
        <f t="shared" si="4"/>
        <v>0</v>
      </c>
      <c r="T47" s="54"/>
      <c r="U47" s="34">
        <f t="shared" si="5"/>
        <v>0</v>
      </c>
      <c r="V47" s="54"/>
      <c r="W47" s="34">
        <f t="shared" si="6"/>
        <v>0</v>
      </c>
      <c r="X47" s="54"/>
      <c r="Y47" s="34">
        <f t="shared" si="7"/>
        <v>0</v>
      </c>
      <c r="Z47" s="54"/>
      <c r="AA47" s="34">
        <f t="shared" si="8"/>
        <v>0</v>
      </c>
      <c r="AB47" s="54"/>
      <c r="AC47" s="34">
        <f t="shared" si="9"/>
        <v>0</v>
      </c>
      <c r="AD47" s="54"/>
      <c r="AE47" s="34">
        <f t="shared" si="10"/>
        <v>0</v>
      </c>
      <c r="AF47" s="54"/>
      <c r="AG47" s="26"/>
      <c r="AH47" s="34">
        <f t="shared" si="11"/>
        <v>0</v>
      </c>
      <c r="AI47" s="54"/>
      <c r="AJ47" s="34">
        <f t="shared" si="12"/>
        <v>0</v>
      </c>
      <c r="AK47" s="54"/>
      <c r="AL47" s="34">
        <f t="shared" si="13"/>
        <v>0</v>
      </c>
      <c r="AM47" s="54"/>
      <c r="AN47" s="34">
        <f t="shared" si="14"/>
        <v>0</v>
      </c>
      <c r="AO47" s="54"/>
      <c r="AP47" s="34">
        <f t="shared" si="15"/>
        <v>0</v>
      </c>
      <c r="AQ47" s="54"/>
      <c r="AR47" s="34">
        <f t="shared" si="16"/>
        <v>0</v>
      </c>
      <c r="AS47" s="54"/>
      <c r="AT47" s="26"/>
      <c r="AU47" s="59"/>
      <c r="AV47" s="33">
        <f t="shared" si="17"/>
        <v>0</v>
      </c>
      <c r="AW47" s="56"/>
      <c r="AX47" s="34">
        <f t="shared" si="18"/>
        <v>0</v>
      </c>
      <c r="AY47" s="33">
        <f t="shared" si="19"/>
        <v>0</v>
      </c>
      <c r="AZ47" s="34">
        <f t="shared" si="20"/>
        <v>0</v>
      </c>
      <c r="BA47" s="37">
        <f t="shared" si="21"/>
        <v>0</v>
      </c>
      <c r="BB47" s="26"/>
      <c r="BC47" s="31" t="str">
        <f t="shared" si="22"/>
        <v/>
      </c>
      <c r="BD47" s="29"/>
      <c r="BE47" s="31">
        <f t="shared" si="23"/>
        <v>0</v>
      </c>
      <c r="BF47" s="31">
        <f t="shared" si="24"/>
        <v>0</v>
      </c>
      <c r="BG47" s="39">
        <f t="shared" si="25"/>
        <v>0</v>
      </c>
      <c r="BH47" s="26"/>
    </row>
    <row r="48">
      <c r="A48" s="57"/>
      <c r="B48" s="26"/>
      <c r="C48" s="43"/>
      <c r="D48" s="48"/>
      <c r="E48" s="43">
        <f t="shared" si="1"/>
        <v>0</v>
      </c>
      <c r="F48" s="46"/>
      <c r="G48" s="43"/>
      <c r="H48" s="43"/>
      <c r="I48" s="43"/>
      <c r="J48" s="46">
        <f t="shared" si="3"/>
        <v>0</v>
      </c>
      <c r="K48" s="26"/>
      <c r="L48" s="43"/>
      <c r="M48" s="47"/>
      <c r="N48" s="47"/>
      <c r="O48" s="47"/>
      <c r="P48" s="47"/>
      <c r="Q48" s="47"/>
      <c r="R48" s="26"/>
      <c r="S48" s="47">
        <f t="shared" si="4"/>
        <v>0</v>
      </c>
      <c r="T48" s="48"/>
      <c r="U48" s="47">
        <f t="shared" si="5"/>
        <v>0</v>
      </c>
      <c r="V48" s="48"/>
      <c r="W48" s="47">
        <f t="shared" si="6"/>
        <v>0</v>
      </c>
      <c r="X48" s="48"/>
      <c r="Y48" s="47">
        <f t="shared" si="7"/>
        <v>0</v>
      </c>
      <c r="Z48" s="48"/>
      <c r="AA48" s="47">
        <f t="shared" si="8"/>
        <v>0</v>
      </c>
      <c r="AB48" s="48"/>
      <c r="AC48" s="47">
        <f t="shared" si="9"/>
        <v>0</v>
      </c>
      <c r="AD48" s="48"/>
      <c r="AE48" s="47">
        <f t="shared" si="10"/>
        <v>0</v>
      </c>
      <c r="AF48" s="48"/>
      <c r="AG48" s="26"/>
      <c r="AH48" s="47">
        <f t="shared" si="11"/>
        <v>0</v>
      </c>
      <c r="AI48" s="48"/>
      <c r="AJ48" s="47">
        <f t="shared" si="12"/>
        <v>0</v>
      </c>
      <c r="AK48" s="48"/>
      <c r="AL48" s="47">
        <f t="shared" si="13"/>
        <v>0</v>
      </c>
      <c r="AM48" s="48"/>
      <c r="AN48" s="47">
        <f t="shared" si="14"/>
        <v>0</v>
      </c>
      <c r="AO48" s="48"/>
      <c r="AP48" s="47">
        <f t="shared" si="15"/>
        <v>0</v>
      </c>
      <c r="AQ48" s="48"/>
      <c r="AR48" s="47">
        <f t="shared" si="16"/>
        <v>0</v>
      </c>
      <c r="AS48" s="48"/>
      <c r="AT48" s="26"/>
      <c r="AU48" s="60"/>
      <c r="AV48" s="50">
        <f t="shared" si="17"/>
        <v>0</v>
      </c>
      <c r="AW48" s="51"/>
      <c r="AX48" s="47">
        <f t="shared" si="18"/>
        <v>0</v>
      </c>
      <c r="AY48" s="50">
        <f t="shared" si="19"/>
        <v>0</v>
      </c>
      <c r="AZ48" s="47">
        <f t="shared" si="20"/>
        <v>0</v>
      </c>
      <c r="BA48" s="52">
        <f t="shared" si="21"/>
        <v>0</v>
      </c>
      <c r="BB48" s="26"/>
      <c r="BC48" s="45" t="str">
        <f t="shared" si="22"/>
        <v/>
      </c>
      <c r="BD48" s="43"/>
      <c r="BE48" s="45">
        <f t="shared" si="23"/>
        <v>0</v>
      </c>
      <c r="BF48" s="45">
        <f t="shared" si="24"/>
        <v>0</v>
      </c>
      <c r="BG48" s="53">
        <f t="shared" si="25"/>
        <v>0</v>
      </c>
      <c r="BH48" s="26"/>
    </row>
    <row r="49">
      <c r="A49" s="58"/>
      <c r="B49" s="26"/>
      <c r="C49" s="29"/>
      <c r="D49" s="54"/>
      <c r="E49" s="29">
        <f t="shared" si="1"/>
        <v>0</v>
      </c>
      <c r="F49" s="32"/>
      <c r="G49" s="29"/>
      <c r="H49" s="29"/>
      <c r="I49" s="29"/>
      <c r="J49" s="32">
        <f t="shared" si="3"/>
        <v>0</v>
      </c>
      <c r="K49" s="26"/>
      <c r="L49" s="29"/>
      <c r="M49" s="34"/>
      <c r="N49" s="34"/>
      <c r="O49" s="34"/>
      <c r="P49" s="34"/>
      <c r="Q49" s="34"/>
      <c r="R49" s="26"/>
      <c r="S49" s="34">
        <f t="shared" si="4"/>
        <v>0</v>
      </c>
      <c r="T49" s="54"/>
      <c r="U49" s="34">
        <f t="shared" si="5"/>
        <v>0</v>
      </c>
      <c r="V49" s="54"/>
      <c r="W49" s="34">
        <f t="shared" si="6"/>
        <v>0</v>
      </c>
      <c r="X49" s="54"/>
      <c r="Y49" s="34">
        <f t="shared" si="7"/>
        <v>0</v>
      </c>
      <c r="Z49" s="54"/>
      <c r="AA49" s="34">
        <f t="shared" si="8"/>
        <v>0</v>
      </c>
      <c r="AB49" s="54"/>
      <c r="AC49" s="34">
        <f t="shared" si="9"/>
        <v>0</v>
      </c>
      <c r="AD49" s="54"/>
      <c r="AE49" s="34">
        <f t="shared" si="10"/>
        <v>0</v>
      </c>
      <c r="AF49" s="54"/>
      <c r="AG49" s="26"/>
      <c r="AH49" s="34">
        <f t="shared" si="11"/>
        <v>0</v>
      </c>
      <c r="AI49" s="54"/>
      <c r="AJ49" s="34">
        <f t="shared" si="12"/>
        <v>0</v>
      </c>
      <c r="AK49" s="54"/>
      <c r="AL49" s="34">
        <f t="shared" si="13"/>
        <v>0</v>
      </c>
      <c r="AM49" s="54"/>
      <c r="AN49" s="34">
        <f t="shared" si="14"/>
        <v>0</v>
      </c>
      <c r="AO49" s="54"/>
      <c r="AP49" s="34">
        <f t="shared" si="15"/>
        <v>0</v>
      </c>
      <c r="AQ49" s="54"/>
      <c r="AR49" s="34">
        <f t="shared" si="16"/>
        <v>0</v>
      </c>
      <c r="AS49" s="54"/>
      <c r="AT49" s="26"/>
      <c r="AU49" s="59"/>
      <c r="AV49" s="33">
        <f t="shared" si="17"/>
        <v>0</v>
      </c>
      <c r="AW49" s="56"/>
      <c r="AX49" s="34">
        <f t="shared" si="18"/>
        <v>0</v>
      </c>
      <c r="AY49" s="33">
        <f t="shared" si="19"/>
        <v>0</v>
      </c>
      <c r="AZ49" s="34">
        <f t="shared" si="20"/>
        <v>0</v>
      </c>
      <c r="BA49" s="37">
        <f t="shared" si="21"/>
        <v>0</v>
      </c>
      <c r="BB49" s="26"/>
      <c r="BC49" s="31" t="str">
        <f t="shared" si="22"/>
        <v/>
      </c>
      <c r="BD49" s="29"/>
      <c r="BE49" s="31">
        <f t="shared" si="23"/>
        <v>0</v>
      </c>
      <c r="BF49" s="31">
        <f t="shared" si="24"/>
        <v>0</v>
      </c>
      <c r="BG49" s="39">
        <f t="shared" si="25"/>
        <v>0</v>
      </c>
      <c r="BH49" s="26"/>
    </row>
    <row r="50">
      <c r="A50" s="57"/>
      <c r="B50" s="26"/>
      <c r="C50" s="43"/>
      <c r="D50" s="48"/>
      <c r="E50" s="43">
        <f t="shared" si="1"/>
        <v>0</v>
      </c>
      <c r="F50" s="46"/>
      <c r="G50" s="43"/>
      <c r="H50" s="43"/>
      <c r="I50" s="43"/>
      <c r="J50" s="46">
        <f t="shared" si="3"/>
        <v>0</v>
      </c>
      <c r="K50" s="26"/>
      <c r="L50" s="43"/>
      <c r="M50" s="47"/>
      <c r="N50" s="47"/>
      <c r="O50" s="47"/>
      <c r="P50" s="47"/>
      <c r="Q50" s="47"/>
      <c r="R50" s="26"/>
      <c r="S50" s="47">
        <f t="shared" si="4"/>
        <v>0</v>
      </c>
      <c r="T50" s="48"/>
      <c r="U50" s="47">
        <f t="shared" si="5"/>
        <v>0</v>
      </c>
      <c r="V50" s="48"/>
      <c r="W50" s="47">
        <f t="shared" si="6"/>
        <v>0</v>
      </c>
      <c r="X50" s="48"/>
      <c r="Y50" s="47">
        <f t="shared" si="7"/>
        <v>0</v>
      </c>
      <c r="Z50" s="48"/>
      <c r="AA50" s="47">
        <f t="shared" si="8"/>
        <v>0</v>
      </c>
      <c r="AB50" s="48"/>
      <c r="AC50" s="47">
        <f t="shared" si="9"/>
        <v>0</v>
      </c>
      <c r="AD50" s="48"/>
      <c r="AE50" s="47">
        <f t="shared" si="10"/>
        <v>0</v>
      </c>
      <c r="AF50" s="48"/>
      <c r="AG50" s="26"/>
      <c r="AH50" s="47">
        <f t="shared" si="11"/>
        <v>0</v>
      </c>
      <c r="AI50" s="48"/>
      <c r="AJ50" s="47">
        <f t="shared" si="12"/>
        <v>0</v>
      </c>
      <c r="AK50" s="48"/>
      <c r="AL50" s="47">
        <f t="shared" si="13"/>
        <v>0</v>
      </c>
      <c r="AM50" s="48"/>
      <c r="AN50" s="47">
        <f t="shared" si="14"/>
        <v>0</v>
      </c>
      <c r="AO50" s="48"/>
      <c r="AP50" s="47">
        <f t="shared" si="15"/>
        <v>0</v>
      </c>
      <c r="AQ50" s="48"/>
      <c r="AR50" s="47">
        <f t="shared" si="16"/>
        <v>0</v>
      </c>
      <c r="AS50" s="48"/>
      <c r="AT50" s="26"/>
      <c r="AU50" s="60"/>
      <c r="AV50" s="50">
        <f t="shared" si="17"/>
        <v>0</v>
      </c>
      <c r="AW50" s="51"/>
      <c r="AX50" s="47">
        <f t="shared" si="18"/>
        <v>0</v>
      </c>
      <c r="AY50" s="50">
        <f t="shared" si="19"/>
        <v>0</v>
      </c>
      <c r="AZ50" s="47">
        <f t="shared" si="20"/>
        <v>0</v>
      </c>
      <c r="BA50" s="52">
        <f t="shared" si="21"/>
        <v>0</v>
      </c>
      <c r="BB50" s="26"/>
      <c r="BC50" s="45" t="str">
        <f t="shared" si="22"/>
        <v/>
      </c>
      <c r="BD50" s="43"/>
      <c r="BE50" s="45">
        <f t="shared" si="23"/>
        <v>0</v>
      </c>
      <c r="BF50" s="45">
        <f t="shared" si="24"/>
        <v>0</v>
      </c>
      <c r="BG50" s="53">
        <f t="shared" si="25"/>
        <v>0</v>
      </c>
      <c r="BH50" s="26"/>
    </row>
    <row r="51">
      <c r="A51" s="58"/>
      <c r="B51" s="26"/>
      <c r="C51" s="29"/>
      <c r="D51" s="54"/>
      <c r="E51" s="29">
        <f t="shared" si="1"/>
        <v>0</v>
      </c>
      <c r="F51" s="32"/>
      <c r="G51" s="29"/>
      <c r="H51" s="29"/>
      <c r="I51" s="29"/>
      <c r="J51" s="32">
        <f t="shared" si="3"/>
        <v>0</v>
      </c>
      <c r="K51" s="26"/>
      <c r="L51" s="29"/>
      <c r="M51" s="34"/>
      <c r="N51" s="34"/>
      <c r="O51" s="34"/>
      <c r="P51" s="34"/>
      <c r="Q51" s="34"/>
      <c r="R51" s="26"/>
      <c r="S51" s="34">
        <f t="shared" si="4"/>
        <v>0</v>
      </c>
      <c r="T51" s="54"/>
      <c r="U51" s="34">
        <f t="shared" si="5"/>
        <v>0</v>
      </c>
      <c r="V51" s="54"/>
      <c r="W51" s="34">
        <f t="shared" si="6"/>
        <v>0</v>
      </c>
      <c r="X51" s="54"/>
      <c r="Y51" s="34">
        <f t="shared" si="7"/>
        <v>0</v>
      </c>
      <c r="Z51" s="54"/>
      <c r="AA51" s="34">
        <f t="shared" si="8"/>
        <v>0</v>
      </c>
      <c r="AB51" s="54"/>
      <c r="AC51" s="34">
        <f t="shared" si="9"/>
        <v>0</v>
      </c>
      <c r="AD51" s="54"/>
      <c r="AE51" s="34">
        <f t="shared" si="10"/>
        <v>0</v>
      </c>
      <c r="AF51" s="54"/>
      <c r="AG51" s="26"/>
      <c r="AH51" s="34">
        <f t="shared" si="11"/>
        <v>0</v>
      </c>
      <c r="AI51" s="54"/>
      <c r="AJ51" s="34">
        <f t="shared" si="12"/>
        <v>0</v>
      </c>
      <c r="AK51" s="54"/>
      <c r="AL51" s="34">
        <f t="shared" si="13"/>
        <v>0</v>
      </c>
      <c r="AM51" s="54"/>
      <c r="AN51" s="34">
        <f t="shared" si="14"/>
        <v>0</v>
      </c>
      <c r="AO51" s="54"/>
      <c r="AP51" s="34">
        <f t="shared" si="15"/>
        <v>0</v>
      </c>
      <c r="AQ51" s="54"/>
      <c r="AR51" s="34">
        <f t="shared" si="16"/>
        <v>0</v>
      </c>
      <c r="AS51" s="54"/>
      <c r="AT51" s="26"/>
      <c r="AU51" s="59"/>
      <c r="AV51" s="33">
        <f t="shared" si="17"/>
        <v>0</v>
      </c>
      <c r="AW51" s="56"/>
      <c r="AX51" s="34">
        <f t="shared" si="18"/>
        <v>0</v>
      </c>
      <c r="AY51" s="33">
        <f t="shared" si="19"/>
        <v>0</v>
      </c>
      <c r="AZ51" s="34">
        <f t="shared" si="20"/>
        <v>0</v>
      </c>
      <c r="BA51" s="37">
        <f t="shared" si="21"/>
        <v>0</v>
      </c>
      <c r="BB51" s="26"/>
      <c r="BC51" s="31" t="str">
        <f t="shared" si="22"/>
        <v/>
      </c>
      <c r="BD51" s="29"/>
      <c r="BE51" s="31">
        <f t="shared" si="23"/>
        <v>0</v>
      </c>
      <c r="BF51" s="31">
        <f t="shared" si="24"/>
        <v>0</v>
      </c>
      <c r="BG51" s="39">
        <f t="shared" si="25"/>
        <v>0</v>
      </c>
      <c r="BH51" s="26"/>
    </row>
  </sheetData>
  <mergeCells count="8">
    <mergeCell ref="A1:A2"/>
    <mergeCell ref="C1:J1"/>
    <mergeCell ref="L1:Q1"/>
    <mergeCell ref="T1:AF1"/>
    <mergeCell ref="AH1:AS1"/>
    <mergeCell ref="AU1:BA1"/>
    <mergeCell ref="BC1:BD1"/>
    <mergeCell ref="BE1:BF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3" width="12.63"/>
    <col customWidth="1" min="5" max="5" width="13.63"/>
    <col customWidth="1" min="7" max="9" width="10.13"/>
    <col customWidth="1" min="10" max="10" width="15.13"/>
  </cols>
  <sheetData>
    <row r="1">
      <c r="A1" s="61" t="s">
        <v>49</v>
      </c>
      <c r="B1" s="61" t="s">
        <v>50</v>
      </c>
      <c r="C1" s="62" t="s">
        <v>51</v>
      </c>
      <c r="D1" s="63" t="s">
        <v>52</v>
      </c>
      <c r="E1" s="63" t="s">
        <v>53</v>
      </c>
      <c r="F1" s="64" t="s">
        <v>10</v>
      </c>
      <c r="G1" s="65" t="s">
        <v>15</v>
      </c>
      <c r="H1" s="66" t="s">
        <v>54</v>
      </c>
      <c r="I1" s="61" t="s">
        <v>55</v>
      </c>
      <c r="J1" s="61" t="s">
        <v>56</v>
      </c>
    </row>
    <row r="2">
      <c r="A2" s="67">
        <v>46097.0</v>
      </c>
      <c r="B2" s="68" t="str">
        <f t="shared" ref="B2:B139" si="2">IF(A2="","",TEXT(A2,"dddd"))
</f>
        <v>segunda-feira</v>
      </c>
      <c r="C2" s="69">
        <v>100.0</v>
      </c>
      <c r="D2" s="70">
        <v>10000.0</v>
      </c>
      <c r="E2" s="70">
        <v>10000.0</v>
      </c>
      <c r="F2" s="71">
        <f t="shared" ref="F2:G2" si="1">D2/C2</f>
        <v>100</v>
      </c>
      <c r="G2" s="72">
        <f t="shared" si="1"/>
        <v>1</v>
      </c>
      <c r="H2" s="70">
        <v>100.0</v>
      </c>
      <c r="I2" s="68" t="str">
        <f t="shared" ref="I2:I139" si="4">IF(F2&lt;=H2,"🟢","🔴")</f>
        <v>🟢</v>
      </c>
      <c r="J2" s="73">
        <f t="shared" ref="J2:J139" si="5">(F2-H2)/H2</f>
        <v>0</v>
      </c>
    </row>
    <row r="3">
      <c r="A3" s="67">
        <v>46098.0</v>
      </c>
      <c r="B3" s="68" t="str">
        <f t="shared" si="2"/>
        <v>terça-feira</v>
      </c>
      <c r="C3" s="69"/>
      <c r="D3" s="70"/>
      <c r="E3" s="70"/>
      <c r="F3" s="71" t="str">
        <f t="shared" ref="F3:G3" si="3">D3/C3</f>
        <v>#DIV/0!</v>
      </c>
      <c r="G3" s="72" t="str">
        <f t="shared" si="3"/>
        <v>#DIV/0!</v>
      </c>
      <c r="H3" s="70">
        <v>80.0</v>
      </c>
      <c r="I3" s="68" t="str">
        <f t="shared" si="4"/>
        <v>#DIV/0!</v>
      </c>
      <c r="J3" s="73" t="str">
        <f t="shared" si="5"/>
        <v>#DIV/0!</v>
      </c>
    </row>
    <row r="4">
      <c r="A4" s="67">
        <v>46099.0</v>
      </c>
      <c r="B4" s="68" t="str">
        <f t="shared" si="2"/>
        <v>quarta-feira</v>
      </c>
      <c r="C4" s="69"/>
      <c r="D4" s="70"/>
      <c r="E4" s="70"/>
      <c r="F4" s="71" t="str">
        <f t="shared" ref="F4:G4" si="6">D4/C4</f>
        <v>#DIV/0!</v>
      </c>
      <c r="G4" s="72" t="str">
        <f t="shared" si="6"/>
        <v>#DIV/0!</v>
      </c>
      <c r="H4" s="70">
        <v>80.0</v>
      </c>
      <c r="I4" s="68" t="str">
        <f t="shared" si="4"/>
        <v>#DIV/0!</v>
      </c>
      <c r="J4" s="73" t="str">
        <f t="shared" si="5"/>
        <v>#DIV/0!</v>
      </c>
    </row>
    <row r="5">
      <c r="A5" s="67">
        <v>46100.0</v>
      </c>
      <c r="B5" s="68" t="str">
        <f t="shared" si="2"/>
        <v>quinta-feira</v>
      </c>
      <c r="C5" s="69"/>
      <c r="D5" s="70"/>
      <c r="E5" s="70"/>
      <c r="F5" s="71" t="str">
        <f t="shared" ref="F5:G5" si="7">D5/C5</f>
        <v>#DIV/0!</v>
      </c>
      <c r="G5" s="72" t="str">
        <f t="shared" si="7"/>
        <v>#DIV/0!</v>
      </c>
      <c r="H5" s="70">
        <v>80.0</v>
      </c>
      <c r="I5" s="68" t="str">
        <f t="shared" si="4"/>
        <v>#DIV/0!</v>
      </c>
      <c r="J5" s="73" t="str">
        <f t="shared" si="5"/>
        <v>#DIV/0!</v>
      </c>
    </row>
    <row r="6">
      <c r="A6" s="67">
        <v>46101.0</v>
      </c>
      <c r="B6" s="68" t="str">
        <f t="shared" si="2"/>
        <v>sexta-feira</v>
      </c>
      <c r="C6" s="69"/>
      <c r="D6" s="70"/>
      <c r="E6" s="70"/>
      <c r="F6" s="71" t="str">
        <f t="shared" ref="F6:G6" si="8">D6/C6</f>
        <v>#DIV/0!</v>
      </c>
      <c r="G6" s="72" t="str">
        <f t="shared" si="8"/>
        <v>#DIV/0!</v>
      </c>
      <c r="H6" s="70">
        <v>80.0</v>
      </c>
      <c r="I6" s="68" t="str">
        <f t="shared" si="4"/>
        <v>#DIV/0!</v>
      </c>
      <c r="J6" s="73" t="str">
        <f t="shared" si="5"/>
        <v>#DIV/0!</v>
      </c>
    </row>
    <row r="7">
      <c r="A7" s="67">
        <v>46102.0</v>
      </c>
      <c r="B7" s="68" t="str">
        <f t="shared" si="2"/>
        <v>sábado</v>
      </c>
      <c r="C7" s="69"/>
      <c r="D7" s="70"/>
      <c r="E7" s="70"/>
      <c r="F7" s="71" t="str">
        <f t="shared" ref="F7:G7" si="9">D7/C7</f>
        <v>#DIV/0!</v>
      </c>
      <c r="G7" s="72" t="str">
        <f t="shared" si="9"/>
        <v>#DIV/0!</v>
      </c>
      <c r="H7" s="70">
        <v>80.0</v>
      </c>
      <c r="I7" s="68" t="str">
        <f t="shared" si="4"/>
        <v>#DIV/0!</v>
      </c>
      <c r="J7" s="73" t="str">
        <f t="shared" si="5"/>
        <v>#DIV/0!</v>
      </c>
    </row>
    <row r="8">
      <c r="A8" s="67">
        <v>46103.0</v>
      </c>
      <c r="B8" s="68" t="str">
        <f t="shared" si="2"/>
        <v>domingo</v>
      </c>
      <c r="C8" s="69"/>
      <c r="D8" s="70"/>
      <c r="E8" s="70"/>
      <c r="F8" s="71" t="str">
        <f t="shared" ref="F8:G8" si="10">D8/C8</f>
        <v>#DIV/0!</v>
      </c>
      <c r="G8" s="72" t="str">
        <f t="shared" si="10"/>
        <v>#DIV/0!</v>
      </c>
      <c r="H8" s="70">
        <v>80.0</v>
      </c>
      <c r="I8" s="68" t="str">
        <f t="shared" si="4"/>
        <v>#DIV/0!</v>
      </c>
      <c r="J8" s="73" t="str">
        <f t="shared" si="5"/>
        <v>#DIV/0!</v>
      </c>
    </row>
    <row r="9">
      <c r="A9" s="67">
        <v>46104.0</v>
      </c>
      <c r="B9" s="68" t="str">
        <f t="shared" si="2"/>
        <v>segunda-feira</v>
      </c>
      <c r="C9" s="69"/>
      <c r="D9" s="70"/>
      <c r="E9" s="70"/>
      <c r="F9" s="74" t="str">
        <f t="shared" ref="F9:G9" si="11">D9/C9</f>
        <v>#DIV/0!</v>
      </c>
      <c r="G9" s="72" t="str">
        <f t="shared" si="11"/>
        <v>#DIV/0!</v>
      </c>
      <c r="H9" s="70">
        <v>80.0</v>
      </c>
      <c r="I9" s="68" t="str">
        <f t="shared" si="4"/>
        <v>#DIV/0!</v>
      </c>
      <c r="J9" s="73" t="str">
        <f t="shared" si="5"/>
        <v>#DIV/0!</v>
      </c>
    </row>
    <row r="10">
      <c r="A10" s="67">
        <v>46105.0</v>
      </c>
      <c r="B10" s="68" t="str">
        <f t="shared" si="2"/>
        <v>terça-feira</v>
      </c>
      <c r="C10" s="69"/>
      <c r="D10" s="70"/>
      <c r="E10" s="70"/>
      <c r="F10" s="74" t="str">
        <f t="shared" ref="F10:G10" si="12">D10/C10</f>
        <v>#DIV/0!</v>
      </c>
      <c r="G10" s="72" t="str">
        <f t="shared" si="12"/>
        <v>#DIV/0!</v>
      </c>
      <c r="H10" s="70">
        <v>80.0</v>
      </c>
      <c r="I10" s="68" t="str">
        <f t="shared" si="4"/>
        <v>#DIV/0!</v>
      </c>
      <c r="J10" s="73" t="str">
        <f t="shared" si="5"/>
        <v>#DIV/0!</v>
      </c>
    </row>
    <row r="11">
      <c r="A11" s="67">
        <v>46106.0</v>
      </c>
      <c r="B11" s="68" t="str">
        <f t="shared" si="2"/>
        <v>quarta-feira</v>
      </c>
      <c r="C11" s="69"/>
      <c r="D11" s="70"/>
      <c r="E11" s="70"/>
      <c r="F11" s="74" t="str">
        <f t="shared" ref="F11:G11" si="13">D11/C11</f>
        <v>#DIV/0!</v>
      </c>
      <c r="G11" s="72" t="str">
        <f t="shared" si="13"/>
        <v>#DIV/0!</v>
      </c>
      <c r="H11" s="70">
        <v>80.0</v>
      </c>
      <c r="I11" s="68" t="str">
        <f t="shared" si="4"/>
        <v>#DIV/0!</v>
      </c>
      <c r="J11" s="73" t="str">
        <f t="shared" si="5"/>
        <v>#DIV/0!</v>
      </c>
    </row>
    <row r="12">
      <c r="A12" s="67">
        <v>46107.0</v>
      </c>
      <c r="B12" s="68" t="str">
        <f t="shared" si="2"/>
        <v>quinta-feira</v>
      </c>
      <c r="C12" s="69"/>
      <c r="D12" s="70"/>
      <c r="E12" s="70"/>
      <c r="F12" s="74" t="str">
        <f t="shared" ref="F12:G12" si="14">D12/C12</f>
        <v>#DIV/0!</v>
      </c>
      <c r="G12" s="72" t="str">
        <f t="shared" si="14"/>
        <v>#DIV/0!</v>
      </c>
      <c r="H12" s="70">
        <v>80.0</v>
      </c>
      <c r="I12" s="68" t="str">
        <f t="shared" si="4"/>
        <v>#DIV/0!</v>
      </c>
      <c r="J12" s="73" t="str">
        <f t="shared" si="5"/>
        <v>#DIV/0!</v>
      </c>
    </row>
    <row r="13">
      <c r="A13" s="67">
        <v>46108.0</v>
      </c>
      <c r="B13" s="68" t="str">
        <f t="shared" si="2"/>
        <v>sexta-feira</v>
      </c>
      <c r="C13" s="69"/>
      <c r="D13" s="70"/>
      <c r="E13" s="70"/>
      <c r="F13" s="71" t="str">
        <f t="shared" ref="F13:G13" si="15">D13/C13</f>
        <v>#DIV/0!</v>
      </c>
      <c r="G13" s="72" t="str">
        <f t="shared" si="15"/>
        <v>#DIV/0!</v>
      </c>
      <c r="H13" s="70">
        <v>80.0</v>
      </c>
      <c r="I13" s="68" t="str">
        <f t="shared" si="4"/>
        <v>#DIV/0!</v>
      </c>
      <c r="J13" s="73" t="str">
        <f t="shared" si="5"/>
        <v>#DIV/0!</v>
      </c>
    </row>
    <row r="14">
      <c r="A14" s="67">
        <v>46109.0</v>
      </c>
      <c r="B14" s="68" t="str">
        <f t="shared" si="2"/>
        <v>sábado</v>
      </c>
      <c r="C14" s="69"/>
      <c r="D14" s="70"/>
      <c r="E14" s="70"/>
      <c r="F14" s="74" t="str">
        <f t="shared" ref="F14:G14" si="16">D14/C14</f>
        <v>#DIV/0!</v>
      </c>
      <c r="G14" s="72" t="str">
        <f t="shared" si="16"/>
        <v>#DIV/0!</v>
      </c>
      <c r="H14" s="70">
        <v>80.0</v>
      </c>
      <c r="I14" s="68" t="str">
        <f t="shared" si="4"/>
        <v>#DIV/0!</v>
      </c>
      <c r="J14" s="73" t="str">
        <f t="shared" si="5"/>
        <v>#DIV/0!</v>
      </c>
    </row>
    <row r="15">
      <c r="A15" s="67">
        <v>46110.0</v>
      </c>
      <c r="B15" s="68" t="str">
        <f t="shared" si="2"/>
        <v>domingo</v>
      </c>
      <c r="C15" s="69"/>
      <c r="D15" s="70"/>
      <c r="E15" s="70"/>
      <c r="F15" s="71" t="str">
        <f t="shared" ref="F15:G15" si="17">D15/C15</f>
        <v>#DIV/0!</v>
      </c>
      <c r="G15" s="72" t="str">
        <f t="shared" si="17"/>
        <v>#DIV/0!</v>
      </c>
      <c r="H15" s="70">
        <v>80.0</v>
      </c>
      <c r="I15" s="68" t="str">
        <f t="shared" si="4"/>
        <v>#DIV/0!</v>
      </c>
      <c r="J15" s="73" t="str">
        <f t="shared" si="5"/>
        <v>#DIV/0!</v>
      </c>
    </row>
    <row r="16">
      <c r="A16" s="67">
        <v>46111.0</v>
      </c>
      <c r="B16" s="68" t="str">
        <f t="shared" si="2"/>
        <v>segunda-feira</v>
      </c>
      <c r="C16" s="69"/>
      <c r="D16" s="70"/>
      <c r="E16" s="70"/>
      <c r="F16" s="71" t="str">
        <f t="shared" ref="F16:G16" si="18">D16/C16</f>
        <v>#DIV/0!</v>
      </c>
      <c r="G16" s="72" t="str">
        <f t="shared" si="18"/>
        <v>#DIV/0!</v>
      </c>
      <c r="H16" s="70">
        <v>80.0</v>
      </c>
      <c r="I16" s="68" t="str">
        <f t="shared" si="4"/>
        <v>#DIV/0!</v>
      </c>
      <c r="J16" s="73" t="str">
        <f t="shared" si="5"/>
        <v>#DIV/0!</v>
      </c>
    </row>
    <row r="17">
      <c r="A17" s="67">
        <v>46112.0</v>
      </c>
      <c r="B17" s="68" t="str">
        <f t="shared" si="2"/>
        <v>terça-feira</v>
      </c>
      <c r="C17" s="69"/>
      <c r="D17" s="70"/>
      <c r="E17" s="70"/>
      <c r="F17" s="71" t="str">
        <f t="shared" ref="F17:G17" si="19">D17/C17</f>
        <v>#DIV/0!</v>
      </c>
      <c r="G17" s="72" t="str">
        <f t="shared" si="19"/>
        <v>#DIV/0!</v>
      </c>
      <c r="H17" s="70">
        <v>80.0</v>
      </c>
      <c r="I17" s="68" t="str">
        <f t="shared" si="4"/>
        <v>#DIV/0!</v>
      </c>
      <c r="J17" s="73" t="str">
        <f t="shared" si="5"/>
        <v>#DIV/0!</v>
      </c>
    </row>
    <row r="18">
      <c r="A18" s="67">
        <v>46113.0</v>
      </c>
      <c r="B18" s="68" t="str">
        <f t="shared" si="2"/>
        <v>quarta-feira</v>
      </c>
      <c r="C18" s="69"/>
      <c r="D18" s="70"/>
      <c r="E18" s="70"/>
      <c r="F18" s="71" t="str">
        <f t="shared" ref="F18:G18" si="20">D18/C18</f>
        <v>#DIV/0!</v>
      </c>
      <c r="G18" s="72" t="str">
        <f t="shared" si="20"/>
        <v>#DIV/0!</v>
      </c>
      <c r="H18" s="70">
        <v>80.0</v>
      </c>
      <c r="I18" s="68" t="str">
        <f t="shared" si="4"/>
        <v>#DIV/0!</v>
      </c>
      <c r="J18" s="73" t="str">
        <f t="shared" si="5"/>
        <v>#DIV/0!</v>
      </c>
    </row>
    <row r="19">
      <c r="A19" s="75">
        <v>46114.0</v>
      </c>
      <c r="B19" s="76" t="str">
        <f t="shared" si="2"/>
        <v>quinta-feira</v>
      </c>
      <c r="C19" s="77"/>
      <c r="D19" s="78"/>
      <c r="E19" s="78"/>
      <c r="F19" s="74" t="str">
        <f t="shared" ref="F19:G19" si="21">D19/C19</f>
        <v>#DIV/0!</v>
      </c>
      <c r="G19" s="79" t="str">
        <f t="shared" si="21"/>
        <v>#DIV/0!</v>
      </c>
      <c r="H19" s="78">
        <v>80.0</v>
      </c>
      <c r="I19" s="76" t="str">
        <f t="shared" si="4"/>
        <v>#DIV/0!</v>
      </c>
      <c r="J19" s="80" t="str">
        <f t="shared" si="5"/>
        <v>#DIV/0!</v>
      </c>
    </row>
    <row r="20">
      <c r="A20" s="67">
        <v>46115.0</v>
      </c>
      <c r="B20" s="68" t="str">
        <f t="shared" si="2"/>
        <v>sexta-feira</v>
      </c>
      <c r="C20" s="69"/>
      <c r="D20" s="70"/>
      <c r="E20" s="70"/>
      <c r="F20" s="71" t="str">
        <f t="shared" ref="F20:G20" si="22">D20/C20</f>
        <v>#DIV/0!</v>
      </c>
      <c r="G20" s="72" t="str">
        <f t="shared" si="22"/>
        <v>#DIV/0!</v>
      </c>
      <c r="H20" s="70">
        <v>80.0</v>
      </c>
      <c r="I20" s="68" t="str">
        <f t="shared" si="4"/>
        <v>#DIV/0!</v>
      </c>
      <c r="J20" s="73" t="str">
        <f t="shared" si="5"/>
        <v>#DIV/0!</v>
      </c>
    </row>
    <row r="21">
      <c r="A21" s="67">
        <v>46116.0</v>
      </c>
      <c r="B21" s="68" t="str">
        <f t="shared" si="2"/>
        <v>sábado</v>
      </c>
      <c r="C21" s="69"/>
      <c r="D21" s="70"/>
      <c r="E21" s="70"/>
      <c r="F21" s="71" t="str">
        <f t="shared" ref="F21:G21" si="23">D21/C21</f>
        <v>#DIV/0!</v>
      </c>
      <c r="G21" s="72" t="str">
        <f t="shared" si="23"/>
        <v>#DIV/0!</v>
      </c>
      <c r="H21" s="70">
        <v>80.0</v>
      </c>
      <c r="I21" s="68" t="str">
        <f t="shared" si="4"/>
        <v>#DIV/0!</v>
      </c>
      <c r="J21" s="73" t="str">
        <f t="shared" si="5"/>
        <v>#DIV/0!</v>
      </c>
    </row>
    <row r="22">
      <c r="A22" s="67">
        <v>46117.0</v>
      </c>
      <c r="B22" s="68" t="str">
        <f t="shared" si="2"/>
        <v>domingo</v>
      </c>
      <c r="C22" s="69"/>
      <c r="D22" s="70"/>
      <c r="E22" s="70"/>
      <c r="F22" s="71" t="str">
        <f t="shared" ref="F22:G22" si="24">D22/C22</f>
        <v>#DIV/0!</v>
      </c>
      <c r="G22" s="72" t="str">
        <f t="shared" si="24"/>
        <v>#DIV/0!</v>
      </c>
      <c r="H22" s="70">
        <v>80.0</v>
      </c>
      <c r="I22" s="68" t="str">
        <f t="shared" si="4"/>
        <v>#DIV/0!</v>
      </c>
      <c r="J22" s="73" t="str">
        <f t="shared" si="5"/>
        <v>#DIV/0!</v>
      </c>
    </row>
    <row r="23">
      <c r="A23" s="75">
        <v>46118.0</v>
      </c>
      <c r="B23" s="76" t="str">
        <f t="shared" si="2"/>
        <v>segunda-feira</v>
      </c>
      <c r="C23" s="77"/>
      <c r="D23" s="78"/>
      <c r="E23" s="78"/>
      <c r="F23" s="74" t="str">
        <f t="shared" ref="F23:G23" si="25">D23/C23</f>
        <v>#DIV/0!</v>
      </c>
      <c r="G23" s="79" t="str">
        <f t="shared" si="25"/>
        <v>#DIV/0!</v>
      </c>
      <c r="H23" s="78">
        <v>80.0</v>
      </c>
      <c r="I23" s="76" t="str">
        <f t="shared" si="4"/>
        <v>#DIV/0!</v>
      </c>
      <c r="J23" s="80" t="str">
        <f t="shared" si="5"/>
        <v>#DIV/0!</v>
      </c>
    </row>
    <row r="24">
      <c r="A24" s="75">
        <v>46119.0</v>
      </c>
      <c r="B24" s="76" t="str">
        <f t="shared" si="2"/>
        <v>terça-feira</v>
      </c>
      <c r="C24" s="77"/>
      <c r="D24" s="78"/>
      <c r="E24" s="78"/>
      <c r="F24" s="74" t="str">
        <f t="shared" ref="F24:G24" si="26">D24/C24</f>
        <v>#DIV/0!</v>
      </c>
      <c r="G24" s="79" t="str">
        <f t="shared" si="26"/>
        <v>#DIV/0!</v>
      </c>
      <c r="H24" s="78">
        <v>80.0</v>
      </c>
      <c r="I24" s="76" t="str">
        <f t="shared" si="4"/>
        <v>#DIV/0!</v>
      </c>
      <c r="J24" s="80" t="str">
        <f t="shared" si="5"/>
        <v>#DIV/0!</v>
      </c>
    </row>
    <row r="25">
      <c r="A25" s="75">
        <v>46120.0</v>
      </c>
      <c r="B25" s="76" t="str">
        <f t="shared" si="2"/>
        <v>quarta-feira</v>
      </c>
      <c r="C25" s="77"/>
      <c r="D25" s="78"/>
      <c r="E25" s="78"/>
      <c r="F25" s="74" t="str">
        <f t="shared" ref="F25:G25" si="27">D25/C25</f>
        <v>#DIV/0!</v>
      </c>
      <c r="G25" s="79" t="str">
        <f t="shared" si="27"/>
        <v>#DIV/0!</v>
      </c>
      <c r="H25" s="78">
        <v>80.0</v>
      </c>
      <c r="I25" s="76" t="str">
        <f t="shared" si="4"/>
        <v>#DIV/0!</v>
      </c>
      <c r="J25" s="80" t="str">
        <f t="shared" si="5"/>
        <v>#DIV/0!</v>
      </c>
    </row>
    <row r="26">
      <c r="A26" s="67">
        <v>46121.0</v>
      </c>
      <c r="B26" s="68" t="str">
        <f t="shared" si="2"/>
        <v>quinta-feira</v>
      </c>
      <c r="C26" s="81"/>
      <c r="D26" s="71"/>
      <c r="E26" s="71"/>
      <c r="F26" s="71" t="str">
        <f t="shared" ref="F26:G26" si="28">D26/C26</f>
        <v>#DIV/0!</v>
      </c>
      <c r="G26" s="72" t="str">
        <f t="shared" si="28"/>
        <v>#DIV/0!</v>
      </c>
      <c r="H26" s="70">
        <v>80.0</v>
      </c>
      <c r="I26" s="68" t="str">
        <f t="shared" si="4"/>
        <v>#DIV/0!</v>
      </c>
      <c r="J26" s="73" t="str">
        <f t="shared" si="5"/>
        <v>#DIV/0!</v>
      </c>
    </row>
    <row r="27">
      <c r="A27" s="67">
        <v>46122.0</v>
      </c>
      <c r="B27" s="68" t="str">
        <f t="shared" si="2"/>
        <v>sexta-feira</v>
      </c>
      <c r="C27" s="81"/>
      <c r="D27" s="71"/>
      <c r="E27" s="71"/>
      <c r="F27" s="71" t="str">
        <f t="shared" ref="F27:G27" si="29">D27/C27</f>
        <v>#DIV/0!</v>
      </c>
      <c r="G27" s="72" t="str">
        <f t="shared" si="29"/>
        <v>#DIV/0!</v>
      </c>
      <c r="H27" s="70">
        <v>80.0</v>
      </c>
      <c r="I27" s="68" t="str">
        <f t="shared" si="4"/>
        <v>#DIV/0!</v>
      </c>
      <c r="J27" s="73" t="str">
        <f t="shared" si="5"/>
        <v>#DIV/0!</v>
      </c>
    </row>
    <row r="28">
      <c r="A28" s="67">
        <v>46123.0</v>
      </c>
      <c r="B28" s="68" t="str">
        <f t="shared" si="2"/>
        <v>sábado</v>
      </c>
      <c r="C28" s="81"/>
      <c r="D28" s="71"/>
      <c r="E28" s="71"/>
      <c r="F28" s="71" t="str">
        <f t="shared" ref="F28:G28" si="30">D28/C28</f>
        <v>#DIV/0!</v>
      </c>
      <c r="G28" s="72" t="str">
        <f t="shared" si="30"/>
        <v>#DIV/0!</v>
      </c>
      <c r="H28" s="70">
        <v>80.0</v>
      </c>
      <c r="I28" s="68" t="str">
        <f t="shared" si="4"/>
        <v>#DIV/0!</v>
      </c>
      <c r="J28" s="73" t="str">
        <f t="shared" si="5"/>
        <v>#DIV/0!</v>
      </c>
    </row>
    <row r="29">
      <c r="A29" s="67">
        <v>46124.0</v>
      </c>
      <c r="B29" s="68" t="str">
        <f t="shared" si="2"/>
        <v>domingo</v>
      </c>
      <c r="C29" s="81"/>
      <c r="D29" s="71"/>
      <c r="E29" s="71"/>
      <c r="F29" s="71" t="str">
        <f t="shared" ref="F29:G29" si="31">D29/C29</f>
        <v>#DIV/0!</v>
      </c>
      <c r="G29" s="72" t="str">
        <f t="shared" si="31"/>
        <v>#DIV/0!</v>
      </c>
      <c r="H29" s="70">
        <v>80.0</v>
      </c>
      <c r="I29" s="68" t="str">
        <f t="shared" si="4"/>
        <v>#DIV/0!</v>
      </c>
      <c r="J29" s="73" t="str">
        <f t="shared" si="5"/>
        <v>#DIV/0!</v>
      </c>
    </row>
    <row r="30">
      <c r="A30" s="67">
        <v>46125.0</v>
      </c>
      <c r="B30" s="68" t="str">
        <f t="shared" si="2"/>
        <v>segunda-feira</v>
      </c>
      <c r="C30" s="81"/>
      <c r="D30" s="71"/>
      <c r="E30" s="71"/>
      <c r="F30" s="71" t="str">
        <f t="shared" ref="F30:G30" si="32">D30/C30</f>
        <v>#DIV/0!</v>
      </c>
      <c r="G30" s="72" t="str">
        <f t="shared" si="32"/>
        <v>#DIV/0!</v>
      </c>
      <c r="H30" s="70">
        <v>80.0</v>
      </c>
      <c r="I30" s="68" t="str">
        <f t="shared" si="4"/>
        <v>#DIV/0!</v>
      </c>
      <c r="J30" s="73" t="str">
        <f t="shared" si="5"/>
        <v>#DIV/0!</v>
      </c>
    </row>
    <row r="31">
      <c r="A31" s="67">
        <v>46126.0</v>
      </c>
      <c r="B31" s="68" t="str">
        <f t="shared" si="2"/>
        <v>terça-feira</v>
      </c>
      <c r="C31" s="81"/>
      <c r="D31" s="71"/>
      <c r="E31" s="71"/>
      <c r="F31" s="71" t="str">
        <f t="shared" ref="F31:G31" si="33">D31/C31</f>
        <v>#DIV/0!</v>
      </c>
      <c r="G31" s="72" t="str">
        <f t="shared" si="33"/>
        <v>#DIV/0!</v>
      </c>
      <c r="H31" s="70">
        <v>80.0</v>
      </c>
      <c r="I31" s="68" t="str">
        <f t="shared" si="4"/>
        <v>#DIV/0!</v>
      </c>
      <c r="J31" s="73" t="str">
        <f t="shared" si="5"/>
        <v>#DIV/0!</v>
      </c>
    </row>
    <row r="32">
      <c r="A32" s="67">
        <v>46127.0</v>
      </c>
      <c r="B32" s="68" t="str">
        <f t="shared" si="2"/>
        <v>quarta-feira</v>
      </c>
      <c r="C32" s="81"/>
      <c r="D32" s="71"/>
      <c r="E32" s="71"/>
      <c r="F32" s="71" t="str">
        <f t="shared" ref="F32:G32" si="34">D32/C32</f>
        <v>#DIV/0!</v>
      </c>
      <c r="G32" s="72" t="str">
        <f t="shared" si="34"/>
        <v>#DIV/0!</v>
      </c>
      <c r="H32" s="70">
        <v>80.0</v>
      </c>
      <c r="I32" s="68" t="str">
        <f t="shared" si="4"/>
        <v>#DIV/0!</v>
      </c>
      <c r="J32" s="73" t="str">
        <f t="shared" si="5"/>
        <v>#DIV/0!</v>
      </c>
    </row>
    <row r="33">
      <c r="A33" s="67">
        <v>46128.0</v>
      </c>
      <c r="B33" s="68" t="str">
        <f t="shared" si="2"/>
        <v>quinta-feira</v>
      </c>
      <c r="C33" s="81"/>
      <c r="D33" s="71"/>
      <c r="E33" s="71"/>
      <c r="F33" s="71" t="str">
        <f t="shared" ref="F33:G33" si="35">D33/C33</f>
        <v>#DIV/0!</v>
      </c>
      <c r="G33" s="72" t="str">
        <f t="shared" si="35"/>
        <v>#DIV/0!</v>
      </c>
      <c r="H33" s="70">
        <v>80.0</v>
      </c>
      <c r="I33" s="68" t="str">
        <f t="shared" si="4"/>
        <v>#DIV/0!</v>
      </c>
      <c r="J33" s="73" t="str">
        <f t="shared" si="5"/>
        <v>#DIV/0!</v>
      </c>
    </row>
    <row r="34">
      <c r="A34" s="67">
        <v>46129.0</v>
      </c>
      <c r="B34" s="68" t="str">
        <f t="shared" si="2"/>
        <v>sexta-feira</v>
      </c>
      <c r="C34" s="81"/>
      <c r="D34" s="71"/>
      <c r="E34" s="71"/>
      <c r="F34" s="71" t="str">
        <f t="shared" ref="F34:G34" si="36">D34/C34</f>
        <v>#DIV/0!</v>
      </c>
      <c r="G34" s="72" t="str">
        <f t="shared" si="36"/>
        <v>#DIV/0!</v>
      </c>
      <c r="H34" s="70">
        <v>80.0</v>
      </c>
      <c r="I34" s="68" t="str">
        <f t="shared" si="4"/>
        <v>#DIV/0!</v>
      </c>
      <c r="J34" s="73" t="str">
        <f t="shared" si="5"/>
        <v>#DIV/0!</v>
      </c>
    </row>
    <row r="35">
      <c r="A35" s="67">
        <v>46130.0</v>
      </c>
      <c r="B35" s="68" t="str">
        <f t="shared" si="2"/>
        <v>sábado</v>
      </c>
      <c r="C35" s="81"/>
      <c r="D35" s="71"/>
      <c r="E35" s="71"/>
      <c r="F35" s="71" t="str">
        <f t="shared" ref="F35:G35" si="37">D35/C35</f>
        <v>#DIV/0!</v>
      </c>
      <c r="G35" s="72" t="str">
        <f t="shared" si="37"/>
        <v>#DIV/0!</v>
      </c>
      <c r="H35" s="70">
        <v>80.0</v>
      </c>
      <c r="I35" s="68" t="str">
        <f t="shared" si="4"/>
        <v>#DIV/0!</v>
      </c>
      <c r="J35" s="73" t="str">
        <f t="shared" si="5"/>
        <v>#DIV/0!</v>
      </c>
    </row>
    <row r="36">
      <c r="A36" s="67">
        <v>46131.0</v>
      </c>
      <c r="B36" s="68" t="str">
        <f t="shared" si="2"/>
        <v>domingo</v>
      </c>
      <c r="C36" s="81"/>
      <c r="D36" s="71"/>
      <c r="E36" s="71"/>
      <c r="F36" s="71" t="str">
        <f t="shared" ref="F36:G36" si="38">D36/C36</f>
        <v>#DIV/0!</v>
      </c>
      <c r="G36" s="72" t="str">
        <f t="shared" si="38"/>
        <v>#DIV/0!</v>
      </c>
      <c r="H36" s="70">
        <v>80.0</v>
      </c>
      <c r="I36" s="68" t="str">
        <f t="shared" si="4"/>
        <v>#DIV/0!</v>
      </c>
      <c r="J36" s="73" t="str">
        <f t="shared" si="5"/>
        <v>#DIV/0!</v>
      </c>
    </row>
    <row r="37">
      <c r="A37" s="67">
        <v>46132.0</v>
      </c>
      <c r="B37" s="68" t="str">
        <f t="shared" si="2"/>
        <v>segunda-feira</v>
      </c>
      <c r="C37" s="81"/>
      <c r="D37" s="71"/>
      <c r="E37" s="71"/>
      <c r="F37" s="71" t="str">
        <f t="shared" ref="F37:G37" si="39">D37/C37</f>
        <v>#DIV/0!</v>
      </c>
      <c r="G37" s="72" t="str">
        <f t="shared" si="39"/>
        <v>#DIV/0!</v>
      </c>
      <c r="H37" s="70">
        <v>80.0</v>
      </c>
      <c r="I37" s="68" t="str">
        <f t="shared" si="4"/>
        <v>#DIV/0!</v>
      </c>
      <c r="J37" s="73" t="str">
        <f t="shared" si="5"/>
        <v>#DIV/0!</v>
      </c>
    </row>
    <row r="38">
      <c r="A38" s="67">
        <v>46133.0</v>
      </c>
      <c r="B38" s="68" t="str">
        <f t="shared" si="2"/>
        <v>terça-feira</v>
      </c>
      <c r="C38" s="81"/>
      <c r="D38" s="71"/>
      <c r="E38" s="71"/>
      <c r="F38" s="71" t="str">
        <f t="shared" ref="F38:G38" si="40">D38/C38</f>
        <v>#DIV/0!</v>
      </c>
      <c r="G38" s="72" t="str">
        <f t="shared" si="40"/>
        <v>#DIV/0!</v>
      </c>
      <c r="H38" s="70">
        <v>80.0</v>
      </c>
      <c r="I38" s="68" t="str">
        <f t="shared" si="4"/>
        <v>#DIV/0!</v>
      </c>
      <c r="J38" s="73" t="str">
        <f t="shared" si="5"/>
        <v>#DIV/0!</v>
      </c>
    </row>
    <row r="39">
      <c r="A39" s="67">
        <v>46134.0</v>
      </c>
      <c r="B39" s="68" t="str">
        <f t="shared" si="2"/>
        <v>quarta-feira</v>
      </c>
      <c r="C39" s="81"/>
      <c r="D39" s="71"/>
      <c r="E39" s="71"/>
      <c r="F39" s="71" t="str">
        <f t="shared" ref="F39:G39" si="41">D39/C39</f>
        <v>#DIV/0!</v>
      </c>
      <c r="G39" s="72" t="str">
        <f t="shared" si="41"/>
        <v>#DIV/0!</v>
      </c>
      <c r="H39" s="70">
        <v>80.0</v>
      </c>
      <c r="I39" s="68" t="str">
        <f t="shared" si="4"/>
        <v>#DIV/0!</v>
      </c>
      <c r="J39" s="73" t="str">
        <f t="shared" si="5"/>
        <v>#DIV/0!</v>
      </c>
    </row>
    <row r="40">
      <c r="A40" s="67">
        <v>46135.0</v>
      </c>
      <c r="B40" s="68" t="str">
        <f t="shared" si="2"/>
        <v>quinta-feira</v>
      </c>
      <c r="C40" s="81"/>
      <c r="D40" s="71"/>
      <c r="E40" s="71"/>
      <c r="F40" s="71" t="str">
        <f t="shared" ref="F40:G40" si="42">D40/C40</f>
        <v>#DIV/0!</v>
      </c>
      <c r="G40" s="72" t="str">
        <f t="shared" si="42"/>
        <v>#DIV/0!</v>
      </c>
      <c r="H40" s="70">
        <v>80.0</v>
      </c>
      <c r="I40" s="68" t="str">
        <f t="shared" si="4"/>
        <v>#DIV/0!</v>
      </c>
      <c r="J40" s="73" t="str">
        <f t="shared" si="5"/>
        <v>#DIV/0!</v>
      </c>
    </row>
    <row r="41">
      <c r="A41" s="67">
        <v>46136.0</v>
      </c>
      <c r="B41" s="68" t="str">
        <f t="shared" si="2"/>
        <v>sexta-feira</v>
      </c>
      <c r="C41" s="81"/>
      <c r="D41" s="71"/>
      <c r="E41" s="71"/>
      <c r="F41" s="71" t="str">
        <f t="shared" ref="F41:G41" si="43">D41/C41</f>
        <v>#DIV/0!</v>
      </c>
      <c r="G41" s="72" t="str">
        <f t="shared" si="43"/>
        <v>#DIV/0!</v>
      </c>
      <c r="H41" s="70">
        <v>80.0</v>
      </c>
      <c r="I41" s="68" t="str">
        <f t="shared" si="4"/>
        <v>#DIV/0!</v>
      </c>
      <c r="J41" s="73" t="str">
        <f t="shared" si="5"/>
        <v>#DIV/0!</v>
      </c>
    </row>
    <row r="42">
      <c r="A42" s="67">
        <v>46137.0</v>
      </c>
      <c r="B42" s="68" t="str">
        <f t="shared" si="2"/>
        <v>sábado</v>
      </c>
      <c r="C42" s="81"/>
      <c r="D42" s="71"/>
      <c r="E42" s="71"/>
      <c r="F42" s="71" t="str">
        <f t="shared" ref="F42:G42" si="44">D42/C42</f>
        <v>#DIV/0!</v>
      </c>
      <c r="G42" s="72" t="str">
        <f t="shared" si="44"/>
        <v>#DIV/0!</v>
      </c>
      <c r="H42" s="70">
        <v>80.0</v>
      </c>
      <c r="I42" s="68" t="str">
        <f t="shared" si="4"/>
        <v>#DIV/0!</v>
      </c>
      <c r="J42" s="73" t="str">
        <f t="shared" si="5"/>
        <v>#DIV/0!</v>
      </c>
    </row>
    <row r="43">
      <c r="A43" s="67">
        <v>46138.0</v>
      </c>
      <c r="B43" s="68" t="str">
        <f t="shared" si="2"/>
        <v>domingo</v>
      </c>
      <c r="C43" s="81"/>
      <c r="D43" s="71"/>
      <c r="E43" s="71"/>
      <c r="F43" s="71" t="str">
        <f t="shared" ref="F43:G43" si="45">D43/C43</f>
        <v>#DIV/0!</v>
      </c>
      <c r="G43" s="72" t="str">
        <f t="shared" si="45"/>
        <v>#DIV/0!</v>
      </c>
      <c r="H43" s="70">
        <v>80.0</v>
      </c>
      <c r="I43" s="68" t="str">
        <f t="shared" si="4"/>
        <v>#DIV/0!</v>
      </c>
      <c r="J43" s="73" t="str">
        <f t="shared" si="5"/>
        <v>#DIV/0!</v>
      </c>
    </row>
    <row r="44">
      <c r="A44" s="67">
        <v>46139.0</v>
      </c>
      <c r="B44" s="68" t="str">
        <f t="shared" si="2"/>
        <v>segunda-feira</v>
      </c>
      <c r="C44" s="81"/>
      <c r="D44" s="71"/>
      <c r="E44" s="71"/>
      <c r="F44" s="71" t="str">
        <f t="shared" ref="F44:G44" si="46">D44/C44</f>
        <v>#DIV/0!</v>
      </c>
      <c r="G44" s="72" t="str">
        <f t="shared" si="46"/>
        <v>#DIV/0!</v>
      </c>
      <c r="H44" s="70">
        <v>80.0</v>
      </c>
      <c r="I44" s="68" t="str">
        <f t="shared" si="4"/>
        <v>#DIV/0!</v>
      </c>
      <c r="J44" s="73" t="str">
        <f t="shared" si="5"/>
        <v>#DIV/0!</v>
      </c>
    </row>
    <row r="45">
      <c r="A45" s="67">
        <v>46140.0</v>
      </c>
      <c r="B45" s="68" t="str">
        <f t="shared" si="2"/>
        <v>terça-feira</v>
      </c>
      <c r="C45" s="81"/>
      <c r="D45" s="71"/>
      <c r="E45" s="71"/>
      <c r="F45" s="71" t="str">
        <f t="shared" ref="F45:G45" si="47">D45/C45</f>
        <v>#DIV/0!</v>
      </c>
      <c r="G45" s="72" t="str">
        <f t="shared" si="47"/>
        <v>#DIV/0!</v>
      </c>
      <c r="H45" s="70">
        <v>80.0</v>
      </c>
      <c r="I45" s="68" t="str">
        <f t="shared" si="4"/>
        <v>#DIV/0!</v>
      </c>
      <c r="J45" s="73" t="str">
        <f t="shared" si="5"/>
        <v>#DIV/0!</v>
      </c>
    </row>
    <row r="46">
      <c r="A46" s="67">
        <v>46141.0</v>
      </c>
      <c r="B46" s="68" t="str">
        <f t="shared" si="2"/>
        <v>quarta-feira</v>
      </c>
      <c r="C46" s="81"/>
      <c r="D46" s="71"/>
      <c r="E46" s="71"/>
      <c r="F46" s="71" t="str">
        <f t="shared" ref="F46:G46" si="48">D46/C46</f>
        <v>#DIV/0!</v>
      </c>
      <c r="G46" s="72" t="str">
        <f t="shared" si="48"/>
        <v>#DIV/0!</v>
      </c>
      <c r="H46" s="70">
        <v>80.0</v>
      </c>
      <c r="I46" s="68" t="str">
        <f t="shared" si="4"/>
        <v>#DIV/0!</v>
      </c>
      <c r="J46" s="73" t="str">
        <f t="shared" si="5"/>
        <v>#DIV/0!</v>
      </c>
    </row>
    <row r="47">
      <c r="A47" s="67">
        <v>46142.0</v>
      </c>
      <c r="B47" s="68" t="str">
        <f t="shared" si="2"/>
        <v>quinta-feira</v>
      </c>
      <c r="C47" s="81"/>
      <c r="D47" s="71"/>
      <c r="E47" s="71"/>
      <c r="F47" s="71" t="str">
        <f t="shared" ref="F47:G47" si="49">D47/C47</f>
        <v>#DIV/0!</v>
      </c>
      <c r="G47" s="72" t="str">
        <f t="shared" si="49"/>
        <v>#DIV/0!</v>
      </c>
      <c r="H47" s="70">
        <v>80.0</v>
      </c>
      <c r="I47" s="68" t="str">
        <f t="shared" si="4"/>
        <v>#DIV/0!</v>
      </c>
      <c r="J47" s="73" t="str">
        <f t="shared" si="5"/>
        <v>#DIV/0!</v>
      </c>
    </row>
    <row r="48">
      <c r="A48" s="67">
        <v>46143.0</v>
      </c>
      <c r="B48" s="68" t="str">
        <f t="shared" si="2"/>
        <v>sexta-feira</v>
      </c>
      <c r="C48" s="81"/>
      <c r="D48" s="71"/>
      <c r="E48" s="71"/>
      <c r="F48" s="71" t="str">
        <f t="shared" ref="F48:G48" si="50">D48/C48</f>
        <v>#DIV/0!</v>
      </c>
      <c r="G48" s="72" t="str">
        <f t="shared" si="50"/>
        <v>#DIV/0!</v>
      </c>
      <c r="H48" s="70">
        <v>80.0</v>
      </c>
      <c r="I48" s="68" t="str">
        <f t="shared" si="4"/>
        <v>#DIV/0!</v>
      </c>
      <c r="J48" s="73" t="str">
        <f t="shared" si="5"/>
        <v>#DIV/0!</v>
      </c>
    </row>
    <row r="49">
      <c r="A49" s="67">
        <v>46144.0</v>
      </c>
      <c r="B49" s="68" t="str">
        <f t="shared" si="2"/>
        <v>sábado</v>
      </c>
      <c r="C49" s="81"/>
      <c r="D49" s="71"/>
      <c r="E49" s="71"/>
      <c r="F49" s="71" t="str">
        <f t="shared" ref="F49:G49" si="51">D49/C49</f>
        <v>#DIV/0!</v>
      </c>
      <c r="G49" s="72" t="str">
        <f t="shared" si="51"/>
        <v>#DIV/0!</v>
      </c>
      <c r="H49" s="70">
        <v>80.0</v>
      </c>
      <c r="I49" s="68" t="str">
        <f t="shared" si="4"/>
        <v>#DIV/0!</v>
      </c>
      <c r="J49" s="73" t="str">
        <f t="shared" si="5"/>
        <v>#DIV/0!</v>
      </c>
    </row>
    <row r="50">
      <c r="A50" s="67">
        <v>46145.0</v>
      </c>
      <c r="B50" s="68" t="str">
        <f t="shared" si="2"/>
        <v>domingo</v>
      </c>
      <c r="C50" s="81"/>
      <c r="D50" s="71"/>
      <c r="E50" s="71"/>
      <c r="F50" s="71" t="str">
        <f t="shared" ref="F50:G50" si="52">D50/C50</f>
        <v>#DIV/0!</v>
      </c>
      <c r="G50" s="72" t="str">
        <f t="shared" si="52"/>
        <v>#DIV/0!</v>
      </c>
      <c r="H50" s="70">
        <v>80.0</v>
      </c>
      <c r="I50" s="68" t="str">
        <f t="shared" si="4"/>
        <v>#DIV/0!</v>
      </c>
      <c r="J50" s="73" t="str">
        <f t="shared" si="5"/>
        <v>#DIV/0!</v>
      </c>
    </row>
    <row r="51">
      <c r="A51" s="67">
        <v>46146.0</v>
      </c>
      <c r="B51" s="68" t="str">
        <f t="shared" si="2"/>
        <v>segunda-feira</v>
      </c>
      <c r="C51" s="81"/>
      <c r="D51" s="71"/>
      <c r="E51" s="71"/>
      <c r="F51" s="71" t="str">
        <f t="shared" ref="F51:G51" si="53">D51/C51</f>
        <v>#DIV/0!</v>
      </c>
      <c r="G51" s="72" t="str">
        <f t="shared" si="53"/>
        <v>#DIV/0!</v>
      </c>
      <c r="H51" s="70">
        <v>80.0</v>
      </c>
      <c r="I51" s="68" t="str">
        <f t="shared" si="4"/>
        <v>#DIV/0!</v>
      </c>
      <c r="J51" s="73" t="str">
        <f t="shared" si="5"/>
        <v>#DIV/0!</v>
      </c>
    </row>
    <row r="52">
      <c r="A52" s="67">
        <v>46147.0</v>
      </c>
      <c r="B52" s="68" t="str">
        <f t="shared" si="2"/>
        <v>terça-feira</v>
      </c>
      <c r="C52" s="81"/>
      <c r="D52" s="71"/>
      <c r="E52" s="71"/>
      <c r="F52" s="71" t="str">
        <f t="shared" ref="F52:G52" si="54">D52/C52</f>
        <v>#DIV/0!</v>
      </c>
      <c r="G52" s="72" t="str">
        <f t="shared" si="54"/>
        <v>#DIV/0!</v>
      </c>
      <c r="H52" s="70">
        <v>80.0</v>
      </c>
      <c r="I52" s="68" t="str">
        <f t="shared" si="4"/>
        <v>#DIV/0!</v>
      </c>
      <c r="J52" s="73" t="str">
        <f t="shared" si="5"/>
        <v>#DIV/0!</v>
      </c>
    </row>
    <row r="53">
      <c r="A53" s="67">
        <v>46148.0</v>
      </c>
      <c r="B53" s="68" t="str">
        <f t="shared" si="2"/>
        <v>quarta-feira</v>
      </c>
      <c r="C53" s="81"/>
      <c r="D53" s="71"/>
      <c r="E53" s="71"/>
      <c r="F53" s="71" t="str">
        <f t="shared" ref="F53:G53" si="55">D53/C53</f>
        <v>#DIV/0!</v>
      </c>
      <c r="G53" s="72" t="str">
        <f t="shared" si="55"/>
        <v>#DIV/0!</v>
      </c>
      <c r="H53" s="70">
        <v>80.0</v>
      </c>
      <c r="I53" s="68" t="str">
        <f t="shared" si="4"/>
        <v>#DIV/0!</v>
      </c>
      <c r="J53" s="73" t="str">
        <f t="shared" si="5"/>
        <v>#DIV/0!</v>
      </c>
    </row>
    <row r="54">
      <c r="A54" s="67">
        <v>46149.0</v>
      </c>
      <c r="B54" s="68" t="str">
        <f t="shared" si="2"/>
        <v>quinta-feira</v>
      </c>
      <c r="C54" s="81"/>
      <c r="D54" s="71"/>
      <c r="E54" s="71"/>
      <c r="F54" s="71" t="str">
        <f t="shared" ref="F54:G54" si="56">D54/C54</f>
        <v>#DIV/0!</v>
      </c>
      <c r="G54" s="72" t="str">
        <f t="shared" si="56"/>
        <v>#DIV/0!</v>
      </c>
      <c r="H54" s="70">
        <v>80.0</v>
      </c>
      <c r="I54" s="68" t="str">
        <f t="shared" si="4"/>
        <v>#DIV/0!</v>
      </c>
      <c r="J54" s="73" t="str">
        <f t="shared" si="5"/>
        <v>#DIV/0!</v>
      </c>
    </row>
    <row r="55">
      <c r="A55" s="67">
        <v>46150.0</v>
      </c>
      <c r="B55" s="68" t="str">
        <f t="shared" si="2"/>
        <v>sexta-feira</v>
      </c>
      <c r="C55" s="81"/>
      <c r="D55" s="71"/>
      <c r="E55" s="71"/>
      <c r="F55" s="71" t="str">
        <f t="shared" ref="F55:G55" si="57">D55/C55</f>
        <v>#DIV/0!</v>
      </c>
      <c r="G55" s="72" t="str">
        <f t="shared" si="57"/>
        <v>#DIV/0!</v>
      </c>
      <c r="H55" s="70">
        <v>80.0</v>
      </c>
      <c r="I55" s="68" t="str">
        <f t="shared" si="4"/>
        <v>#DIV/0!</v>
      </c>
      <c r="J55" s="73" t="str">
        <f t="shared" si="5"/>
        <v>#DIV/0!</v>
      </c>
    </row>
    <row r="56">
      <c r="A56" s="67">
        <v>46151.0</v>
      </c>
      <c r="B56" s="68" t="str">
        <f t="shared" si="2"/>
        <v>sábado</v>
      </c>
      <c r="C56" s="81"/>
      <c r="D56" s="71"/>
      <c r="E56" s="71"/>
      <c r="F56" s="71" t="str">
        <f t="shared" ref="F56:G56" si="58">D56/C56</f>
        <v>#DIV/0!</v>
      </c>
      <c r="G56" s="72" t="str">
        <f t="shared" si="58"/>
        <v>#DIV/0!</v>
      </c>
      <c r="H56" s="70">
        <v>80.0</v>
      </c>
      <c r="I56" s="68" t="str">
        <f t="shared" si="4"/>
        <v>#DIV/0!</v>
      </c>
      <c r="J56" s="73" t="str">
        <f t="shared" si="5"/>
        <v>#DIV/0!</v>
      </c>
    </row>
    <row r="57">
      <c r="A57" s="67">
        <v>46152.0</v>
      </c>
      <c r="B57" s="68" t="str">
        <f t="shared" si="2"/>
        <v>domingo</v>
      </c>
      <c r="C57" s="81"/>
      <c r="D57" s="71"/>
      <c r="E57" s="71"/>
      <c r="F57" s="71" t="str">
        <f t="shared" ref="F57:G57" si="59">D57/C57</f>
        <v>#DIV/0!</v>
      </c>
      <c r="G57" s="72" t="str">
        <f t="shared" si="59"/>
        <v>#DIV/0!</v>
      </c>
      <c r="H57" s="70">
        <v>80.0</v>
      </c>
      <c r="I57" s="68" t="str">
        <f t="shared" si="4"/>
        <v>#DIV/0!</v>
      </c>
      <c r="J57" s="73" t="str">
        <f t="shared" si="5"/>
        <v>#DIV/0!</v>
      </c>
    </row>
    <row r="58">
      <c r="A58" s="67">
        <v>46153.0</v>
      </c>
      <c r="B58" s="68" t="str">
        <f t="shared" si="2"/>
        <v>segunda-feira</v>
      </c>
      <c r="C58" s="81"/>
      <c r="D58" s="71"/>
      <c r="E58" s="71"/>
      <c r="F58" s="71" t="str">
        <f t="shared" ref="F58:G58" si="60">D58/C58</f>
        <v>#DIV/0!</v>
      </c>
      <c r="G58" s="72" t="str">
        <f t="shared" si="60"/>
        <v>#DIV/0!</v>
      </c>
      <c r="H58" s="70">
        <v>80.0</v>
      </c>
      <c r="I58" s="68" t="str">
        <f t="shared" si="4"/>
        <v>#DIV/0!</v>
      </c>
      <c r="J58" s="73" t="str">
        <f t="shared" si="5"/>
        <v>#DIV/0!</v>
      </c>
    </row>
    <row r="59">
      <c r="A59" s="67">
        <v>46154.0</v>
      </c>
      <c r="B59" s="68" t="str">
        <f t="shared" si="2"/>
        <v>terça-feira</v>
      </c>
      <c r="C59" s="81"/>
      <c r="D59" s="71"/>
      <c r="E59" s="71"/>
      <c r="F59" s="71" t="str">
        <f t="shared" ref="F59:G59" si="61">D59/C59</f>
        <v>#DIV/0!</v>
      </c>
      <c r="G59" s="72" t="str">
        <f t="shared" si="61"/>
        <v>#DIV/0!</v>
      </c>
      <c r="H59" s="70">
        <v>80.0</v>
      </c>
      <c r="I59" s="68" t="str">
        <f t="shared" si="4"/>
        <v>#DIV/0!</v>
      </c>
      <c r="J59" s="73" t="str">
        <f t="shared" si="5"/>
        <v>#DIV/0!</v>
      </c>
    </row>
    <row r="60">
      <c r="A60" s="67">
        <v>46155.0</v>
      </c>
      <c r="B60" s="68" t="str">
        <f t="shared" si="2"/>
        <v>quarta-feira</v>
      </c>
      <c r="C60" s="81"/>
      <c r="D60" s="71"/>
      <c r="E60" s="71"/>
      <c r="F60" s="71" t="str">
        <f t="shared" ref="F60:G60" si="62">D60/C60</f>
        <v>#DIV/0!</v>
      </c>
      <c r="G60" s="72" t="str">
        <f t="shared" si="62"/>
        <v>#DIV/0!</v>
      </c>
      <c r="H60" s="70">
        <v>80.0</v>
      </c>
      <c r="I60" s="68" t="str">
        <f t="shared" si="4"/>
        <v>#DIV/0!</v>
      </c>
      <c r="J60" s="73" t="str">
        <f t="shared" si="5"/>
        <v>#DIV/0!</v>
      </c>
    </row>
    <row r="61">
      <c r="A61" s="67">
        <v>46156.0</v>
      </c>
      <c r="B61" s="68" t="str">
        <f t="shared" si="2"/>
        <v>quinta-feira</v>
      </c>
      <c r="C61" s="81"/>
      <c r="D61" s="71"/>
      <c r="E61" s="71"/>
      <c r="F61" s="71" t="str">
        <f t="shared" ref="F61:G61" si="63">D61/C61</f>
        <v>#DIV/0!</v>
      </c>
      <c r="G61" s="72" t="str">
        <f t="shared" si="63"/>
        <v>#DIV/0!</v>
      </c>
      <c r="H61" s="70">
        <v>80.0</v>
      </c>
      <c r="I61" s="68" t="str">
        <f t="shared" si="4"/>
        <v>#DIV/0!</v>
      </c>
      <c r="J61" s="73" t="str">
        <f t="shared" si="5"/>
        <v>#DIV/0!</v>
      </c>
    </row>
    <row r="62">
      <c r="A62" s="67">
        <v>46157.0</v>
      </c>
      <c r="B62" s="68" t="str">
        <f t="shared" si="2"/>
        <v>sexta-feira</v>
      </c>
      <c r="C62" s="81"/>
      <c r="D62" s="71"/>
      <c r="E62" s="71"/>
      <c r="F62" s="71" t="str">
        <f t="shared" ref="F62:G62" si="64">D62/C62</f>
        <v>#DIV/0!</v>
      </c>
      <c r="G62" s="72" t="str">
        <f t="shared" si="64"/>
        <v>#DIV/0!</v>
      </c>
      <c r="H62" s="70">
        <v>80.0</v>
      </c>
      <c r="I62" s="68" t="str">
        <f t="shared" si="4"/>
        <v>#DIV/0!</v>
      </c>
      <c r="J62" s="73" t="str">
        <f t="shared" si="5"/>
        <v>#DIV/0!</v>
      </c>
    </row>
    <row r="63">
      <c r="A63" s="67">
        <v>46158.0</v>
      </c>
      <c r="B63" s="68" t="str">
        <f t="shared" si="2"/>
        <v>sábado</v>
      </c>
      <c r="C63" s="81"/>
      <c r="D63" s="71"/>
      <c r="E63" s="71"/>
      <c r="F63" s="71" t="str">
        <f t="shared" ref="F63:G63" si="65">D63/C63</f>
        <v>#DIV/0!</v>
      </c>
      <c r="G63" s="72" t="str">
        <f t="shared" si="65"/>
        <v>#DIV/0!</v>
      </c>
      <c r="H63" s="70">
        <v>80.0</v>
      </c>
      <c r="I63" s="68" t="str">
        <f t="shared" si="4"/>
        <v>#DIV/0!</v>
      </c>
      <c r="J63" s="73" t="str">
        <f t="shared" si="5"/>
        <v>#DIV/0!</v>
      </c>
    </row>
    <row r="64">
      <c r="A64" s="67">
        <v>46159.0</v>
      </c>
      <c r="B64" s="68" t="str">
        <f t="shared" si="2"/>
        <v>domingo</v>
      </c>
      <c r="C64" s="81"/>
      <c r="D64" s="71"/>
      <c r="E64" s="71"/>
      <c r="F64" s="71" t="str">
        <f t="shared" ref="F64:G64" si="66">D64/C64</f>
        <v>#DIV/0!</v>
      </c>
      <c r="G64" s="72" t="str">
        <f t="shared" si="66"/>
        <v>#DIV/0!</v>
      </c>
      <c r="H64" s="70">
        <v>80.0</v>
      </c>
      <c r="I64" s="68" t="str">
        <f t="shared" si="4"/>
        <v>#DIV/0!</v>
      </c>
      <c r="J64" s="73" t="str">
        <f t="shared" si="5"/>
        <v>#DIV/0!</v>
      </c>
    </row>
    <row r="65">
      <c r="A65" s="67">
        <v>46160.0</v>
      </c>
      <c r="B65" s="68" t="str">
        <f t="shared" si="2"/>
        <v>segunda-feira</v>
      </c>
      <c r="C65" s="81"/>
      <c r="D65" s="71"/>
      <c r="E65" s="71"/>
      <c r="F65" s="71" t="str">
        <f t="shared" ref="F65:G65" si="67">D65/C65</f>
        <v>#DIV/0!</v>
      </c>
      <c r="G65" s="72" t="str">
        <f t="shared" si="67"/>
        <v>#DIV/0!</v>
      </c>
      <c r="H65" s="70">
        <v>80.0</v>
      </c>
      <c r="I65" s="68" t="str">
        <f t="shared" si="4"/>
        <v>#DIV/0!</v>
      </c>
      <c r="J65" s="73" t="str">
        <f t="shared" si="5"/>
        <v>#DIV/0!</v>
      </c>
    </row>
    <row r="66">
      <c r="A66" s="67">
        <v>46161.0</v>
      </c>
      <c r="B66" s="68" t="str">
        <f t="shared" si="2"/>
        <v>terça-feira</v>
      </c>
      <c r="C66" s="81"/>
      <c r="D66" s="71"/>
      <c r="E66" s="71"/>
      <c r="F66" s="71" t="str">
        <f t="shared" ref="F66:G66" si="68">D66/C66</f>
        <v>#DIV/0!</v>
      </c>
      <c r="G66" s="72" t="str">
        <f t="shared" si="68"/>
        <v>#DIV/0!</v>
      </c>
      <c r="H66" s="70">
        <v>80.0</v>
      </c>
      <c r="I66" s="68" t="str">
        <f t="shared" si="4"/>
        <v>#DIV/0!</v>
      </c>
      <c r="J66" s="73" t="str">
        <f t="shared" si="5"/>
        <v>#DIV/0!</v>
      </c>
    </row>
    <row r="67">
      <c r="A67" s="67">
        <v>46162.0</v>
      </c>
      <c r="B67" s="68" t="str">
        <f t="shared" si="2"/>
        <v>quarta-feira</v>
      </c>
      <c r="C67" s="81"/>
      <c r="D67" s="71"/>
      <c r="E67" s="71"/>
      <c r="F67" s="71" t="str">
        <f t="shared" ref="F67:G67" si="69">D67/C67</f>
        <v>#DIV/0!</v>
      </c>
      <c r="G67" s="72" t="str">
        <f t="shared" si="69"/>
        <v>#DIV/0!</v>
      </c>
      <c r="H67" s="70">
        <v>80.0</v>
      </c>
      <c r="I67" s="68" t="str">
        <f t="shared" si="4"/>
        <v>#DIV/0!</v>
      </c>
      <c r="J67" s="73" t="str">
        <f t="shared" si="5"/>
        <v>#DIV/0!</v>
      </c>
    </row>
    <row r="68">
      <c r="A68" s="67">
        <v>46163.0</v>
      </c>
      <c r="B68" s="68" t="str">
        <f t="shared" si="2"/>
        <v>quinta-feira</v>
      </c>
      <c r="C68" s="81"/>
      <c r="D68" s="71"/>
      <c r="E68" s="71"/>
      <c r="F68" s="71" t="str">
        <f t="shared" ref="F68:G68" si="70">D68/C68</f>
        <v>#DIV/0!</v>
      </c>
      <c r="G68" s="72" t="str">
        <f t="shared" si="70"/>
        <v>#DIV/0!</v>
      </c>
      <c r="H68" s="70">
        <v>80.0</v>
      </c>
      <c r="I68" s="68" t="str">
        <f t="shared" si="4"/>
        <v>#DIV/0!</v>
      </c>
      <c r="J68" s="73" t="str">
        <f t="shared" si="5"/>
        <v>#DIV/0!</v>
      </c>
    </row>
    <row r="69">
      <c r="A69" s="67">
        <v>46164.0</v>
      </c>
      <c r="B69" s="68" t="str">
        <f t="shared" si="2"/>
        <v>sexta-feira</v>
      </c>
      <c r="C69" s="81"/>
      <c r="D69" s="71"/>
      <c r="E69" s="71"/>
      <c r="F69" s="71" t="str">
        <f t="shared" ref="F69:G69" si="71">D69/C69</f>
        <v>#DIV/0!</v>
      </c>
      <c r="G69" s="72" t="str">
        <f t="shared" si="71"/>
        <v>#DIV/0!</v>
      </c>
      <c r="H69" s="70">
        <v>80.0</v>
      </c>
      <c r="I69" s="68" t="str">
        <f t="shared" si="4"/>
        <v>#DIV/0!</v>
      </c>
      <c r="J69" s="73" t="str">
        <f t="shared" si="5"/>
        <v>#DIV/0!</v>
      </c>
    </row>
    <row r="70">
      <c r="A70" s="67">
        <v>46165.0</v>
      </c>
      <c r="B70" s="68" t="str">
        <f t="shared" si="2"/>
        <v>sábado</v>
      </c>
      <c r="C70" s="81"/>
      <c r="D70" s="71"/>
      <c r="E70" s="71"/>
      <c r="F70" s="71" t="str">
        <f t="shared" ref="F70:G70" si="72">D70/C70</f>
        <v>#DIV/0!</v>
      </c>
      <c r="G70" s="72" t="str">
        <f t="shared" si="72"/>
        <v>#DIV/0!</v>
      </c>
      <c r="H70" s="70">
        <v>80.0</v>
      </c>
      <c r="I70" s="68" t="str">
        <f t="shared" si="4"/>
        <v>#DIV/0!</v>
      </c>
      <c r="J70" s="73" t="str">
        <f t="shared" si="5"/>
        <v>#DIV/0!</v>
      </c>
    </row>
    <row r="71">
      <c r="A71" s="67">
        <v>46166.0</v>
      </c>
      <c r="B71" s="68" t="str">
        <f t="shared" si="2"/>
        <v>domingo</v>
      </c>
      <c r="C71" s="81"/>
      <c r="D71" s="71"/>
      <c r="E71" s="71"/>
      <c r="F71" s="71" t="str">
        <f t="shared" ref="F71:G71" si="73">D71/C71</f>
        <v>#DIV/0!</v>
      </c>
      <c r="G71" s="72" t="str">
        <f t="shared" si="73"/>
        <v>#DIV/0!</v>
      </c>
      <c r="H71" s="70">
        <v>80.0</v>
      </c>
      <c r="I71" s="68" t="str">
        <f t="shared" si="4"/>
        <v>#DIV/0!</v>
      </c>
      <c r="J71" s="73" t="str">
        <f t="shared" si="5"/>
        <v>#DIV/0!</v>
      </c>
    </row>
    <row r="72">
      <c r="A72" s="67">
        <v>46167.0</v>
      </c>
      <c r="B72" s="68" t="str">
        <f t="shared" si="2"/>
        <v>segunda-feira</v>
      </c>
      <c r="C72" s="81"/>
      <c r="D72" s="71"/>
      <c r="E72" s="71"/>
      <c r="F72" s="71" t="str">
        <f t="shared" ref="F72:G72" si="74">D72/C72</f>
        <v>#DIV/0!</v>
      </c>
      <c r="G72" s="72" t="str">
        <f t="shared" si="74"/>
        <v>#DIV/0!</v>
      </c>
      <c r="H72" s="70">
        <v>80.0</v>
      </c>
      <c r="I72" s="68" t="str">
        <f t="shared" si="4"/>
        <v>#DIV/0!</v>
      </c>
      <c r="J72" s="73" t="str">
        <f t="shared" si="5"/>
        <v>#DIV/0!</v>
      </c>
    </row>
    <row r="73">
      <c r="A73" s="67">
        <v>46168.0</v>
      </c>
      <c r="B73" s="68" t="str">
        <f t="shared" si="2"/>
        <v>terça-feira</v>
      </c>
      <c r="C73" s="81"/>
      <c r="D73" s="71"/>
      <c r="E73" s="71"/>
      <c r="F73" s="71" t="str">
        <f t="shared" ref="F73:G73" si="75">D73/C73</f>
        <v>#DIV/0!</v>
      </c>
      <c r="G73" s="72" t="str">
        <f t="shared" si="75"/>
        <v>#DIV/0!</v>
      </c>
      <c r="H73" s="70">
        <v>80.0</v>
      </c>
      <c r="I73" s="68" t="str">
        <f t="shared" si="4"/>
        <v>#DIV/0!</v>
      </c>
      <c r="J73" s="73" t="str">
        <f t="shared" si="5"/>
        <v>#DIV/0!</v>
      </c>
    </row>
    <row r="74">
      <c r="A74" s="67">
        <v>46169.0</v>
      </c>
      <c r="B74" s="68" t="str">
        <f t="shared" si="2"/>
        <v>quarta-feira</v>
      </c>
      <c r="C74" s="81"/>
      <c r="D74" s="71"/>
      <c r="E74" s="71"/>
      <c r="F74" s="71" t="str">
        <f t="shared" ref="F74:G74" si="76">D74/C74</f>
        <v>#DIV/0!</v>
      </c>
      <c r="G74" s="72" t="str">
        <f t="shared" si="76"/>
        <v>#DIV/0!</v>
      </c>
      <c r="H74" s="70">
        <v>80.0</v>
      </c>
      <c r="I74" s="68" t="str">
        <f t="shared" si="4"/>
        <v>#DIV/0!</v>
      </c>
      <c r="J74" s="73" t="str">
        <f t="shared" si="5"/>
        <v>#DIV/0!</v>
      </c>
    </row>
    <row r="75">
      <c r="A75" s="67">
        <v>46170.0</v>
      </c>
      <c r="B75" s="68" t="str">
        <f t="shared" si="2"/>
        <v>quinta-feira</v>
      </c>
      <c r="C75" s="81"/>
      <c r="D75" s="71"/>
      <c r="E75" s="71"/>
      <c r="F75" s="71" t="str">
        <f t="shared" ref="F75:G75" si="77">D75/C75</f>
        <v>#DIV/0!</v>
      </c>
      <c r="G75" s="72" t="str">
        <f t="shared" si="77"/>
        <v>#DIV/0!</v>
      </c>
      <c r="H75" s="70">
        <v>80.0</v>
      </c>
      <c r="I75" s="68" t="str">
        <f t="shared" si="4"/>
        <v>#DIV/0!</v>
      </c>
      <c r="J75" s="73" t="str">
        <f t="shared" si="5"/>
        <v>#DIV/0!</v>
      </c>
    </row>
    <row r="76">
      <c r="A76" s="67">
        <v>46171.0</v>
      </c>
      <c r="B76" s="68" t="str">
        <f t="shared" si="2"/>
        <v>sexta-feira</v>
      </c>
      <c r="C76" s="81"/>
      <c r="D76" s="71"/>
      <c r="E76" s="71"/>
      <c r="F76" s="71" t="str">
        <f t="shared" ref="F76:G76" si="78">D76/C76</f>
        <v>#DIV/0!</v>
      </c>
      <c r="G76" s="72" t="str">
        <f t="shared" si="78"/>
        <v>#DIV/0!</v>
      </c>
      <c r="H76" s="70">
        <v>80.0</v>
      </c>
      <c r="I76" s="68" t="str">
        <f t="shared" si="4"/>
        <v>#DIV/0!</v>
      </c>
      <c r="J76" s="73" t="str">
        <f t="shared" si="5"/>
        <v>#DIV/0!</v>
      </c>
    </row>
    <row r="77">
      <c r="A77" s="67">
        <v>46172.0</v>
      </c>
      <c r="B77" s="68" t="str">
        <f t="shared" si="2"/>
        <v>sábado</v>
      </c>
      <c r="C77" s="81"/>
      <c r="D77" s="71"/>
      <c r="E77" s="71"/>
      <c r="F77" s="71" t="str">
        <f t="shared" ref="F77:G77" si="79">D77/C77</f>
        <v>#DIV/0!</v>
      </c>
      <c r="G77" s="72" t="str">
        <f t="shared" si="79"/>
        <v>#DIV/0!</v>
      </c>
      <c r="H77" s="70">
        <v>80.0</v>
      </c>
      <c r="I77" s="68" t="str">
        <f t="shared" si="4"/>
        <v>#DIV/0!</v>
      </c>
      <c r="J77" s="73" t="str">
        <f t="shared" si="5"/>
        <v>#DIV/0!</v>
      </c>
    </row>
    <row r="78">
      <c r="A78" s="67">
        <v>46173.0</v>
      </c>
      <c r="B78" s="68" t="str">
        <f t="shared" si="2"/>
        <v>domingo</v>
      </c>
      <c r="C78" s="81"/>
      <c r="D78" s="71"/>
      <c r="E78" s="71"/>
      <c r="F78" s="71" t="str">
        <f t="shared" ref="F78:G78" si="80">D78/C78</f>
        <v>#DIV/0!</v>
      </c>
      <c r="G78" s="72" t="str">
        <f t="shared" si="80"/>
        <v>#DIV/0!</v>
      </c>
      <c r="H78" s="70">
        <v>80.0</v>
      </c>
      <c r="I78" s="68" t="str">
        <f t="shared" si="4"/>
        <v>#DIV/0!</v>
      </c>
      <c r="J78" s="73" t="str">
        <f t="shared" si="5"/>
        <v>#DIV/0!</v>
      </c>
    </row>
    <row r="79">
      <c r="A79" s="67">
        <v>46174.0</v>
      </c>
      <c r="B79" s="68" t="str">
        <f t="shared" si="2"/>
        <v>segunda-feira</v>
      </c>
      <c r="C79" s="81"/>
      <c r="D79" s="71"/>
      <c r="E79" s="71"/>
      <c r="F79" s="71" t="str">
        <f t="shared" ref="F79:G79" si="81">D79/C79</f>
        <v>#DIV/0!</v>
      </c>
      <c r="G79" s="72" t="str">
        <f t="shared" si="81"/>
        <v>#DIV/0!</v>
      </c>
      <c r="H79" s="70">
        <v>80.0</v>
      </c>
      <c r="I79" s="68" t="str">
        <f t="shared" si="4"/>
        <v>#DIV/0!</v>
      </c>
      <c r="J79" s="73" t="str">
        <f t="shared" si="5"/>
        <v>#DIV/0!</v>
      </c>
    </row>
    <row r="80">
      <c r="A80" s="67">
        <v>46175.0</v>
      </c>
      <c r="B80" s="68" t="str">
        <f t="shared" si="2"/>
        <v>terça-feira</v>
      </c>
      <c r="C80" s="81"/>
      <c r="D80" s="71"/>
      <c r="E80" s="71"/>
      <c r="F80" s="71" t="str">
        <f t="shared" ref="F80:G80" si="82">D80/C80</f>
        <v>#DIV/0!</v>
      </c>
      <c r="G80" s="72" t="str">
        <f t="shared" si="82"/>
        <v>#DIV/0!</v>
      </c>
      <c r="H80" s="70">
        <v>80.0</v>
      </c>
      <c r="I80" s="68" t="str">
        <f t="shared" si="4"/>
        <v>#DIV/0!</v>
      </c>
      <c r="J80" s="73" t="str">
        <f t="shared" si="5"/>
        <v>#DIV/0!</v>
      </c>
    </row>
    <row r="81">
      <c r="A81" s="67">
        <v>46176.0</v>
      </c>
      <c r="B81" s="68" t="str">
        <f t="shared" si="2"/>
        <v>quarta-feira</v>
      </c>
      <c r="C81" s="81"/>
      <c r="D81" s="71"/>
      <c r="E81" s="71"/>
      <c r="F81" s="71" t="str">
        <f t="shared" ref="F81:G81" si="83">D81/C81</f>
        <v>#DIV/0!</v>
      </c>
      <c r="G81" s="72" t="str">
        <f t="shared" si="83"/>
        <v>#DIV/0!</v>
      </c>
      <c r="H81" s="70">
        <v>80.0</v>
      </c>
      <c r="I81" s="68" t="str">
        <f t="shared" si="4"/>
        <v>#DIV/0!</v>
      </c>
      <c r="J81" s="73" t="str">
        <f t="shared" si="5"/>
        <v>#DIV/0!</v>
      </c>
    </row>
    <row r="82">
      <c r="A82" s="67">
        <v>46177.0</v>
      </c>
      <c r="B82" s="68" t="str">
        <f t="shared" si="2"/>
        <v>quinta-feira</v>
      </c>
      <c r="C82" s="81"/>
      <c r="D82" s="71"/>
      <c r="E82" s="71"/>
      <c r="F82" s="71" t="str">
        <f t="shared" ref="F82:G82" si="84">D82/C82</f>
        <v>#DIV/0!</v>
      </c>
      <c r="G82" s="72" t="str">
        <f t="shared" si="84"/>
        <v>#DIV/0!</v>
      </c>
      <c r="H82" s="70">
        <v>80.0</v>
      </c>
      <c r="I82" s="68" t="str">
        <f t="shared" si="4"/>
        <v>#DIV/0!</v>
      </c>
      <c r="J82" s="73" t="str">
        <f t="shared" si="5"/>
        <v>#DIV/0!</v>
      </c>
    </row>
    <row r="83">
      <c r="A83" s="67">
        <v>46178.0</v>
      </c>
      <c r="B83" s="68" t="str">
        <f t="shared" si="2"/>
        <v>sexta-feira</v>
      </c>
      <c r="C83" s="81"/>
      <c r="D83" s="71"/>
      <c r="E83" s="71"/>
      <c r="F83" s="71" t="str">
        <f t="shared" ref="F83:G83" si="85">D83/C83</f>
        <v>#DIV/0!</v>
      </c>
      <c r="G83" s="72" t="str">
        <f t="shared" si="85"/>
        <v>#DIV/0!</v>
      </c>
      <c r="H83" s="70">
        <v>80.0</v>
      </c>
      <c r="I83" s="68" t="str">
        <f t="shared" si="4"/>
        <v>#DIV/0!</v>
      </c>
      <c r="J83" s="73" t="str">
        <f t="shared" si="5"/>
        <v>#DIV/0!</v>
      </c>
    </row>
    <row r="84">
      <c r="A84" s="67">
        <v>46179.0</v>
      </c>
      <c r="B84" s="68" t="str">
        <f t="shared" si="2"/>
        <v>sábado</v>
      </c>
      <c r="C84" s="81"/>
      <c r="D84" s="71"/>
      <c r="E84" s="71"/>
      <c r="F84" s="71" t="str">
        <f t="shared" ref="F84:G84" si="86">D84/C84</f>
        <v>#DIV/0!</v>
      </c>
      <c r="G84" s="72" t="str">
        <f t="shared" si="86"/>
        <v>#DIV/0!</v>
      </c>
      <c r="H84" s="70">
        <v>80.0</v>
      </c>
      <c r="I84" s="68" t="str">
        <f t="shared" si="4"/>
        <v>#DIV/0!</v>
      </c>
      <c r="J84" s="73" t="str">
        <f t="shared" si="5"/>
        <v>#DIV/0!</v>
      </c>
    </row>
    <row r="85">
      <c r="A85" s="67">
        <v>46180.0</v>
      </c>
      <c r="B85" s="68" t="str">
        <f t="shared" si="2"/>
        <v>domingo</v>
      </c>
      <c r="C85" s="81"/>
      <c r="D85" s="71"/>
      <c r="E85" s="71"/>
      <c r="F85" s="71" t="str">
        <f t="shared" ref="F85:G85" si="87">D85/C85</f>
        <v>#DIV/0!</v>
      </c>
      <c r="G85" s="72" t="str">
        <f t="shared" si="87"/>
        <v>#DIV/0!</v>
      </c>
      <c r="H85" s="70">
        <v>80.0</v>
      </c>
      <c r="I85" s="68" t="str">
        <f t="shared" si="4"/>
        <v>#DIV/0!</v>
      </c>
      <c r="J85" s="73" t="str">
        <f t="shared" si="5"/>
        <v>#DIV/0!</v>
      </c>
    </row>
    <row r="86">
      <c r="A86" s="67">
        <v>46181.0</v>
      </c>
      <c r="B86" s="68" t="str">
        <f t="shared" si="2"/>
        <v>segunda-feira</v>
      </c>
      <c r="C86" s="81"/>
      <c r="D86" s="71"/>
      <c r="E86" s="71"/>
      <c r="F86" s="71" t="str">
        <f t="shared" ref="F86:G86" si="88">D86/C86</f>
        <v>#DIV/0!</v>
      </c>
      <c r="G86" s="72" t="str">
        <f t="shared" si="88"/>
        <v>#DIV/0!</v>
      </c>
      <c r="H86" s="70">
        <v>80.0</v>
      </c>
      <c r="I86" s="68" t="str">
        <f t="shared" si="4"/>
        <v>#DIV/0!</v>
      </c>
      <c r="J86" s="73" t="str">
        <f t="shared" si="5"/>
        <v>#DIV/0!</v>
      </c>
    </row>
    <row r="87">
      <c r="A87" s="67">
        <v>46182.0</v>
      </c>
      <c r="B87" s="68" t="str">
        <f t="shared" si="2"/>
        <v>terça-feira</v>
      </c>
      <c r="C87" s="81"/>
      <c r="D87" s="71"/>
      <c r="E87" s="71"/>
      <c r="F87" s="71" t="str">
        <f t="shared" ref="F87:G87" si="89">D87/C87</f>
        <v>#DIV/0!</v>
      </c>
      <c r="G87" s="72" t="str">
        <f t="shared" si="89"/>
        <v>#DIV/0!</v>
      </c>
      <c r="H87" s="70">
        <v>80.0</v>
      </c>
      <c r="I87" s="68" t="str">
        <f t="shared" si="4"/>
        <v>#DIV/0!</v>
      </c>
      <c r="J87" s="73" t="str">
        <f t="shared" si="5"/>
        <v>#DIV/0!</v>
      </c>
    </row>
    <row r="88">
      <c r="A88" s="67">
        <v>46183.0</v>
      </c>
      <c r="B88" s="68" t="str">
        <f t="shared" si="2"/>
        <v>quarta-feira</v>
      </c>
      <c r="C88" s="81"/>
      <c r="D88" s="71"/>
      <c r="E88" s="71"/>
      <c r="F88" s="71" t="str">
        <f t="shared" ref="F88:G88" si="90">D88/C88</f>
        <v>#DIV/0!</v>
      </c>
      <c r="G88" s="72" t="str">
        <f t="shared" si="90"/>
        <v>#DIV/0!</v>
      </c>
      <c r="H88" s="70">
        <v>80.0</v>
      </c>
      <c r="I88" s="68" t="str">
        <f t="shared" si="4"/>
        <v>#DIV/0!</v>
      </c>
      <c r="J88" s="73" t="str">
        <f t="shared" si="5"/>
        <v>#DIV/0!</v>
      </c>
    </row>
    <row r="89">
      <c r="A89" s="67">
        <v>46184.0</v>
      </c>
      <c r="B89" s="68" t="str">
        <f t="shared" si="2"/>
        <v>quinta-feira</v>
      </c>
      <c r="C89" s="81"/>
      <c r="D89" s="71"/>
      <c r="E89" s="71"/>
      <c r="F89" s="71" t="str">
        <f t="shared" ref="F89:G89" si="91">D89/C89</f>
        <v>#DIV/0!</v>
      </c>
      <c r="G89" s="72" t="str">
        <f t="shared" si="91"/>
        <v>#DIV/0!</v>
      </c>
      <c r="H89" s="70">
        <v>80.0</v>
      </c>
      <c r="I89" s="68" t="str">
        <f t="shared" si="4"/>
        <v>#DIV/0!</v>
      </c>
      <c r="J89" s="73" t="str">
        <f t="shared" si="5"/>
        <v>#DIV/0!</v>
      </c>
    </row>
    <row r="90">
      <c r="A90" s="67">
        <v>46185.0</v>
      </c>
      <c r="B90" s="68" t="str">
        <f t="shared" si="2"/>
        <v>sexta-feira</v>
      </c>
      <c r="C90" s="81"/>
      <c r="D90" s="71"/>
      <c r="E90" s="71"/>
      <c r="F90" s="71" t="str">
        <f t="shared" ref="F90:G90" si="92">D90/C90</f>
        <v>#DIV/0!</v>
      </c>
      <c r="G90" s="72" t="str">
        <f t="shared" si="92"/>
        <v>#DIV/0!</v>
      </c>
      <c r="H90" s="70">
        <v>80.0</v>
      </c>
      <c r="I90" s="68" t="str">
        <f t="shared" si="4"/>
        <v>#DIV/0!</v>
      </c>
      <c r="J90" s="73" t="str">
        <f t="shared" si="5"/>
        <v>#DIV/0!</v>
      </c>
    </row>
    <row r="91">
      <c r="A91" s="67">
        <v>46186.0</v>
      </c>
      <c r="B91" s="68" t="str">
        <f t="shared" si="2"/>
        <v>sábado</v>
      </c>
      <c r="C91" s="81"/>
      <c r="D91" s="71"/>
      <c r="E91" s="71"/>
      <c r="F91" s="71" t="str">
        <f t="shared" ref="F91:G91" si="93">D91/C91</f>
        <v>#DIV/0!</v>
      </c>
      <c r="G91" s="72" t="str">
        <f t="shared" si="93"/>
        <v>#DIV/0!</v>
      </c>
      <c r="H91" s="70">
        <v>80.0</v>
      </c>
      <c r="I91" s="68" t="str">
        <f t="shared" si="4"/>
        <v>#DIV/0!</v>
      </c>
      <c r="J91" s="73" t="str">
        <f t="shared" si="5"/>
        <v>#DIV/0!</v>
      </c>
    </row>
    <row r="92">
      <c r="A92" s="67">
        <v>46187.0</v>
      </c>
      <c r="B92" s="68" t="str">
        <f t="shared" si="2"/>
        <v>domingo</v>
      </c>
      <c r="C92" s="81"/>
      <c r="D92" s="71"/>
      <c r="E92" s="71"/>
      <c r="F92" s="71" t="str">
        <f t="shared" ref="F92:G92" si="94">D92/C92</f>
        <v>#DIV/0!</v>
      </c>
      <c r="G92" s="72" t="str">
        <f t="shared" si="94"/>
        <v>#DIV/0!</v>
      </c>
      <c r="H92" s="70">
        <v>80.0</v>
      </c>
      <c r="I92" s="68" t="str">
        <f t="shared" si="4"/>
        <v>#DIV/0!</v>
      </c>
      <c r="J92" s="73" t="str">
        <f t="shared" si="5"/>
        <v>#DIV/0!</v>
      </c>
    </row>
    <row r="93">
      <c r="A93" s="67">
        <v>46188.0</v>
      </c>
      <c r="B93" s="68" t="str">
        <f t="shared" si="2"/>
        <v>segunda-feira</v>
      </c>
      <c r="C93" s="81"/>
      <c r="D93" s="71"/>
      <c r="E93" s="71"/>
      <c r="F93" s="71" t="str">
        <f t="shared" ref="F93:G93" si="95">D93/C93</f>
        <v>#DIV/0!</v>
      </c>
      <c r="G93" s="72" t="str">
        <f t="shared" si="95"/>
        <v>#DIV/0!</v>
      </c>
      <c r="H93" s="70">
        <v>80.0</v>
      </c>
      <c r="I93" s="68" t="str">
        <f t="shared" si="4"/>
        <v>#DIV/0!</v>
      </c>
      <c r="J93" s="73" t="str">
        <f t="shared" si="5"/>
        <v>#DIV/0!</v>
      </c>
    </row>
    <row r="94">
      <c r="A94" s="67">
        <v>46189.0</v>
      </c>
      <c r="B94" s="68" t="str">
        <f t="shared" si="2"/>
        <v>terça-feira</v>
      </c>
      <c r="C94" s="81"/>
      <c r="D94" s="71"/>
      <c r="E94" s="71"/>
      <c r="F94" s="71" t="str">
        <f t="shared" ref="F94:G94" si="96">D94/C94</f>
        <v>#DIV/0!</v>
      </c>
      <c r="G94" s="72" t="str">
        <f t="shared" si="96"/>
        <v>#DIV/0!</v>
      </c>
      <c r="H94" s="70">
        <v>80.0</v>
      </c>
      <c r="I94" s="68" t="str">
        <f t="shared" si="4"/>
        <v>#DIV/0!</v>
      </c>
      <c r="J94" s="73" t="str">
        <f t="shared" si="5"/>
        <v>#DIV/0!</v>
      </c>
    </row>
    <row r="95">
      <c r="A95" s="67">
        <v>46190.0</v>
      </c>
      <c r="B95" s="68" t="str">
        <f t="shared" si="2"/>
        <v>quarta-feira</v>
      </c>
      <c r="C95" s="81"/>
      <c r="D95" s="71"/>
      <c r="E95" s="71"/>
      <c r="F95" s="71" t="str">
        <f t="shared" ref="F95:G95" si="97">D95/C95</f>
        <v>#DIV/0!</v>
      </c>
      <c r="G95" s="72" t="str">
        <f t="shared" si="97"/>
        <v>#DIV/0!</v>
      </c>
      <c r="H95" s="70">
        <v>80.0</v>
      </c>
      <c r="I95" s="68" t="str">
        <f t="shared" si="4"/>
        <v>#DIV/0!</v>
      </c>
      <c r="J95" s="73" t="str">
        <f t="shared" si="5"/>
        <v>#DIV/0!</v>
      </c>
    </row>
    <row r="96">
      <c r="A96" s="67">
        <v>46191.0</v>
      </c>
      <c r="B96" s="68" t="str">
        <f t="shared" si="2"/>
        <v>quinta-feira</v>
      </c>
      <c r="C96" s="81"/>
      <c r="D96" s="71"/>
      <c r="E96" s="71"/>
      <c r="F96" s="71" t="str">
        <f t="shared" ref="F96:G96" si="98">D96/C96</f>
        <v>#DIV/0!</v>
      </c>
      <c r="G96" s="72" t="str">
        <f t="shared" si="98"/>
        <v>#DIV/0!</v>
      </c>
      <c r="H96" s="70">
        <v>80.0</v>
      </c>
      <c r="I96" s="68" t="str">
        <f t="shared" si="4"/>
        <v>#DIV/0!</v>
      </c>
      <c r="J96" s="73" t="str">
        <f t="shared" si="5"/>
        <v>#DIV/0!</v>
      </c>
    </row>
    <row r="97">
      <c r="A97" s="67">
        <v>46192.0</v>
      </c>
      <c r="B97" s="68" t="str">
        <f t="shared" si="2"/>
        <v>sexta-feira</v>
      </c>
      <c r="C97" s="81"/>
      <c r="D97" s="71"/>
      <c r="E97" s="71"/>
      <c r="F97" s="71" t="str">
        <f t="shared" ref="F97:G97" si="99">D97/C97</f>
        <v>#DIV/0!</v>
      </c>
      <c r="G97" s="72" t="str">
        <f t="shared" si="99"/>
        <v>#DIV/0!</v>
      </c>
      <c r="H97" s="70">
        <v>80.0</v>
      </c>
      <c r="I97" s="68" t="str">
        <f t="shared" si="4"/>
        <v>#DIV/0!</v>
      </c>
      <c r="J97" s="73" t="str">
        <f t="shared" si="5"/>
        <v>#DIV/0!</v>
      </c>
    </row>
    <row r="98">
      <c r="A98" s="67">
        <v>46193.0</v>
      </c>
      <c r="B98" s="68" t="str">
        <f t="shared" si="2"/>
        <v>sábado</v>
      </c>
      <c r="C98" s="81"/>
      <c r="D98" s="71"/>
      <c r="E98" s="71"/>
      <c r="F98" s="71" t="str">
        <f t="shared" ref="F98:G98" si="100">D98/C98</f>
        <v>#DIV/0!</v>
      </c>
      <c r="G98" s="72" t="str">
        <f t="shared" si="100"/>
        <v>#DIV/0!</v>
      </c>
      <c r="H98" s="70">
        <v>80.0</v>
      </c>
      <c r="I98" s="68" t="str">
        <f t="shared" si="4"/>
        <v>#DIV/0!</v>
      </c>
      <c r="J98" s="73" t="str">
        <f t="shared" si="5"/>
        <v>#DIV/0!</v>
      </c>
    </row>
    <row r="99">
      <c r="A99" s="67">
        <v>46194.0</v>
      </c>
      <c r="B99" s="68" t="str">
        <f t="shared" si="2"/>
        <v>domingo</v>
      </c>
      <c r="C99" s="81"/>
      <c r="D99" s="71"/>
      <c r="E99" s="71"/>
      <c r="F99" s="71" t="str">
        <f t="shared" ref="F99:G99" si="101">D99/C99</f>
        <v>#DIV/0!</v>
      </c>
      <c r="G99" s="72" t="str">
        <f t="shared" si="101"/>
        <v>#DIV/0!</v>
      </c>
      <c r="H99" s="70">
        <v>80.0</v>
      </c>
      <c r="I99" s="68" t="str">
        <f t="shared" si="4"/>
        <v>#DIV/0!</v>
      </c>
      <c r="J99" s="73" t="str">
        <f t="shared" si="5"/>
        <v>#DIV/0!</v>
      </c>
    </row>
    <row r="100">
      <c r="A100" s="67">
        <v>46195.0</v>
      </c>
      <c r="B100" s="68" t="str">
        <f t="shared" si="2"/>
        <v>segunda-feira</v>
      </c>
      <c r="C100" s="81"/>
      <c r="D100" s="71"/>
      <c r="E100" s="71"/>
      <c r="F100" s="71" t="str">
        <f t="shared" ref="F100:G100" si="102">D100/C100</f>
        <v>#DIV/0!</v>
      </c>
      <c r="G100" s="72" t="str">
        <f t="shared" si="102"/>
        <v>#DIV/0!</v>
      </c>
      <c r="H100" s="70">
        <v>80.0</v>
      </c>
      <c r="I100" s="68" t="str">
        <f t="shared" si="4"/>
        <v>#DIV/0!</v>
      </c>
      <c r="J100" s="73" t="str">
        <f t="shared" si="5"/>
        <v>#DIV/0!</v>
      </c>
    </row>
    <row r="101">
      <c r="A101" s="67">
        <v>46196.0</v>
      </c>
      <c r="B101" s="68" t="str">
        <f t="shared" si="2"/>
        <v>terça-feira</v>
      </c>
      <c r="C101" s="81"/>
      <c r="D101" s="71"/>
      <c r="E101" s="71"/>
      <c r="F101" s="71" t="str">
        <f t="shared" ref="F101:G101" si="103">D101/C101</f>
        <v>#DIV/0!</v>
      </c>
      <c r="G101" s="72" t="str">
        <f t="shared" si="103"/>
        <v>#DIV/0!</v>
      </c>
      <c r="H101" s="70">
        <v>80.0</v>
      </c>
      <c r="I101" s="68" t="str">
        <f t="shared" si="4"/>
        <v>#DIV/0!</v>
      </c>
      <c r="J101" s="73" t="str">
        <f t="shared" si="5"/>
        <v>#DIV/0!</v>
      </c>
    </row>
    <row r="102">
      <c r="A102" s="67">
        <v>46197.0</v>
      </c>
      <c r="B102" s="68" t="str">
        <f t="shared" si="2"/>
        <v>quarta-feira</v>
      </c>
      <c r="C102" s="81"/>
      <c r="D102" s="71"/>
      <c r="E102" s="71"/>
      <c r="F102" s="71" t="str">
        <f t="shared" ref="F102:G102" si="104">D102/C102</f>
        <v>#DIV/0!</v>
      </c>
      <c r="G102" s="72" t="str">
        <f t="shared" si="104"/>
        <v>#DIV/0!</v>
      </c>
      <c r="H102" s="70">
        <v>80.0</v>
      </c>
      <c r="I102" s="68" t="str">
        <f t="shared" si="4"/>
        <v>#DIV/0!</v>
      </c>
      <c r="J102" s="73" t="str">
        <f t="shared" si="5"/>
        <v>#DIV/0!</v>
      </c>
    </row>
    <row r="103">
      <c r="A103" s="67">
        <v>46198.0</v>
      </c>
      <c r="B103" s="68" t="str">
        <f t="shared" si="2"/>
        <v>quinta-feira</v>
      </c>
      <c r="C103" s="81"/>
      <c r="D103" s="71"/>
      <c r="E103" s="71"/>
      <c r="F103" s="71" t="str">
        <f t="shared" ref="F103:G103" si="105">D103/C103</f>
        <v>#DIV/0!</v>
      </c>
      <c r="G103" s="72" t="str">
        <f t="shared" si="105"/>
        <v>#DIV/0!</v>
      </c>
      <c r="H103" s="70">
        <v>80.0</v>
      </c>
      <c r="I103" s="68" t="str">
        <f t="shared" si="4"/>
        <v>#DIV/0!</v>
      </c>
      <c r="J103" s="73" t="str">
        <f t="shared" si="5"/>
        <v>#DIV/0!</v>
      </c>
    </row>
    <row r="104">
      <c r="A104" s="67">
        <v>46199.0</v>
      </c>
      <c r="B104" s="68" t="str">
        <f t="shared" si="2"/>
        <v>sexta-feira</v>
      </c>
      <c r="C104" s="81"/>
      <c r="D104" s="71"/>
      <c r="E104" s="71"/>
      <c r="F104" s="71" t="str">
        <f t="shared" ref="F104:G104" si="106">D104/C104</f>
        <v>#DIV/0!</v>
      </c>
      <c r="G104" s="72" t="str">
        <f t="shared" si="106"/>
        <v>#DIV/0!</v>
      </c>
      <c r="H104" s="70">
        <v>80.0</v>
      </c>
      <c r="I104" s="68" t="str">
        <f t="shared" si="4"/>
        <v>#DIV/0!</v>
      </c>
      <c r="J104" s="73" t="str">
        <f t="shared" si="5"/>
        <v>#DIV/0!</v>
      </c>
    </row>
    <row r="105">
      <c r="A105" s="67">
        <v>46200.0</v>
      </c>
      <c r="B105" s="68" t="str">
        <f t="shared" si="2"/>
        <v>sábado</v>
      </c>
      <c r="C105" s="81"/>
      <c r="D105" s="71"/>
      <c r="E105" s="71"/>
      <c r="F105" s="71" t="str">
        <f t="shared" ref="F105:G105" si="107">D105/C105</f>
        <v>#DIV/0!</v>
      </c>
      <c r="G105" s="72" t="str">
        <f t="shared" si="107"/>
        <v>#DIV/0!</v>
      </c>
      <c r="H105" s="70">
        <v>80.0</v>
      </c>
      <c r="I105" s="68" t="str">
        <f t="shared" si="4"/>
        <v>#DIV/0!</v>
      </c>
      <c r="J105" s="73" t="str">
        <f t="shared" si="5"/>
        <v>#DIV/0!</v>
      </c>
    </row>
    <row r="106">
      <c r="A106" s="67">
        <v>46201.0</v>
      </c>
      <c r="B106" s="68" t="str">
        <f t="shared" si="2"/>
        <v>domingo</v>
      </c>
      <c r="C106" s="81"/>
      <c r="D106" s="71"/>
      <c r="E106" s="71"/>
      <c r="F106" s="71" t="str">
        <f t="shared" ref="F106:G106" si="108">D106/C106</f>
        <v>#DIV/0!</v>
      </c>
      <c r="G106" s="72" t="str">
        <f t="shared" si="108"/>
        <v>#DIV/0!</v>
      </c>
      <c r="H106" s="70">
        <v>80.0</v>
      </c>
      <c r="I106" s="68" t="str">
        <f t="shared" si="4"/>
        <v>#DIV/0!</v>
      </c>
      <c r="J106" s="73" t="str">
        <f t="shared" si="5"/>
        <v>#DIV/0!</v>
      </c>
    </row>
    <row r="107">
      <c r="A107" s="67">
        <v>46202.0</v>
      </c>
      <c r="B107" s="68" t="str">
        <f t="shared" si="2"/>
        <v>segunda-feira</v>
      </c>
      <c r="C107" s="81"/>
      <c r="D107" s="71"/>
      <c r="E107" s="71"/>
      <c r="F107" s="71" t="str">
        <f t="shared" ref="F107:G107" si="109">D107/C107</f>
        <v>#DIV/0!</v>
      </c>
      <c r="G107" s="72" t="str">
        <f t="shared" si="109"/>
        <v>#DIV/0!</v>
      </c>
      <c r="H107" s="70">
        <v>80.0</v>
      </c>
      <c r="I107" s="68" t="str">
        <f t="shared" si="4"/>
        <v>#DIV/0!</v>
      </c>
      <c r="J107" s="73" t="str">
        <f t="shared" si="5"/>
        <v>#DIV/0!</v>
      </c>
    </row>
    <row r="108">
      <c r="A108" s="67">
        <v>46203.0</v>
      </c>
      <c r="B108" s="68" t="str">
        <f t="shared" si="2"/>
        <v>terça-feira</v>
      </c>
      <c r="C108" s="81"/>
      <c r="D108" s="71"/>
      <c r="E108" s="71"/>
      <c r="F108" s="71" t="str">
        <f t="shared" ref="F108:G108" si="110">D108/C108</f>
        <v>#DIV/0!</v>
      </c>
      <c r="G108" s="72" t="str">
        <f t="shared" si="110"/>
        <v>#DIV/0!</v>
      </c>
      <c r="H108" s="70">
        <v>80.0</v>
      </c>
      <c r="I108" s="68" t="str">
        <f t="shared" si="4"/>
        <v>#DIV/0!</v>
      </c>
      <c r="J108" s="73" t="str">
        <f t="shared" si="5"/>
        <v>#DIV/0!</v>
      </c>
    </row>
    <row r="109">
      <c r="A109" s="67">
        <v>46204.0</v>
      </c>
      <c r="B109" s="68" t="str">
        <f t="shared" si="2"/>
        <v>quarta-feira</v>
      </c>
      <c r="C109" s="81"/>
      <c r="D109" s="71"/>
      <c r="E109" s="71"/>
      <c r="F109" s="71" t="str">
        <f t="shared" ref="F109:G109" si="111">D109/C109</f>
        <v>#DIV/0!</v>
      </c>
      <c r="G109" s="72" t="str">
        <f t="shared" si="111"/>
        <v>#DIV/0!</v>
      </c>
      <c r="H109" s="70">
        <v>80.0</v>
      </c>
      <c r="I109" s="68" t="str">
        <f t="shared" si="4"/>
        <v>#DIV/0!</v>
      </c>
      <c r="J109" s="73" t="str">
        <f t="shared" si="5"/>
        <v>#DIV/0!</v>
      </c>
    </row>
    <row r="110">
      <c r="A110" s="67">
        <v>46205.0</v>
      </c>
      <c r="B110" s="68" t="str">
        <f t="shared" si="2"/>
        <v>quinta-feira</v>
      </c>
      <c r="C110" s="81"/>
      <c r="D110" s="71"/>
      <c r="E110" s="71"/>
      <c r="F110" s="71" t="str">
        <f t="shared" ref="F110:G110" si="112">D110/C110</f>
        <v>#DIV/0!</v>
      </c>
      <c r="G110" s="72" t="str">
        <f t="shared" si="112"/>
        <v>#DIV/0!</v>
      </c>
      <c r="H110" s="70">
        <v>80.0</v>
      </c>
      <c r="I110" s="68" t="str">
        <f t="shared" si="4"/>
        <v>#DIV/0!</v>
      </c>
      <c r="J110" s="73" t="str">
        <f t="shared" si="5"/>
        <v>#DIV/0!</v>
      </c>
    </row>
    <row r="111">
      <c r="A111" s="67">
        <v>46206.0</v>
      </c>
      <c r="B111" s="68" t="str">
        <f t="shared" si="2"/>
        <v>sexta-feira</v>
      </c>
      <c r="C111" s="81"/>
      <c r="D111" s="71"/>
      <c r="E111" s="71"/>
      <c r="F111" s="71" t="str">
        <f t="shared" ref="F111:G111" si="113">D111/C111</f>
        <v>#DIV/0!</v>
      </c>
      <c r="G111" s="72" t="str">
        <f t="shared" si="113"/>
        <v>#DIV/0!</v>
      </c>
      <c r="H111" s="70">
        <v>80.0</v>
      </c>
      <c r="I111" s="68" t="str">
        <f t="shared" si="4"/>
        <v>#DIV/0!</v>
      </c>
      <c r="J111" s="73" t="str">
        <f t="shared" si="5"/>
        <v>#DIV/0!</v>
      </c>
    </row>
    <row r="112">
      <c r="A112" s="67">
        <v>46207.0</v>
      </c>
      <c r="B112" s="68" t="str">
        <f t="shared" si="2"/>
        <v>sábado</v>
      </c>
      <c r="C112" s="81"/>
      <c r="D112" s="71"/>
      <c r="E112" s="71"/>
      <c r="F112" s="71" t="str">
        <f t="shared" ref="F112:G112" si="114">D112/C112</f>
        <v>#DIV/0!</v>
      </c>
      <c r="G112" s="72" t="str">
        <f t="shared" si="114"/>
        <v>#DIV/0!</v>
      </c>
      <c r="H112" s="70">
        <v>80.0</v>
      </c>
      <c r="I112" s="68" t="str">
        <f t="shared" si="4"/>
        <v>#DIV/0!</v>
      </c>
      <c r="J112" s="73" t="str">
        <f t="shared" si="5"/>
        <v>#DIV/0!</v>
      </c>
    </row>
    <row r="113">
      <c r="A113" s="67">
        <v>46208.0</v>
      </c>
      <c r="B113" s="68" t="str">
        <f t="shared" si="2"/>
        <v>domingo</v>
      </c>
      <c r="C113" s="81"/>
      <c r="D113" s="71"/>
      <c r="E113" s="71"/>
      <c r="F113" s="71" t="str">
        <f t="shared" ref="F113:G113" si="115">D113/C113</f>
        <v>#DIV/0!</v>
      </c>
      <c r="G113" s="72" t="str">
        <f t="shared" si="115"/>
        <v>#DIV/0!</v>
      </c>
      <c r="H113" s="70">
        <v>80.0</v>
      </c>
      <c r="I113" s="68" t="str">
        <f t="shared" si="4"/>
        <v>#DIV/0!</v>
      </c>
      <c r="J113" s="73" t="str">
        <f t="shared" si="5"/>
        <v>#DIV/0!</v>
      </c>
    </row>
    <row r="114">
      <c r="A114" s="67">
        <v>46209.0</v>
      </c>
      <c r="B114" s="68" t="str">
        <f t="shared" si="2"/>
        <v>segunda-feira</v>
      </c>
      <c r="C114" s="81"/>
      <c r="D114" s="71"/>
      <c r="E114" s="71"/>
      <c r="F114" s="71" t="str">
        <f t="shared" ref="F114:G114" si="116">D114/C114</f>
        <v>#DIV/0!</v>
      </c>
      <c r="G114" s="72" t="str">
        <f t="shared" si="116"/>
        <v>#DIV/0!</v>
      </c>
      <c r="H114" s="70">
        <v>80.0</v>
      </c>
      <c r="I114" s="68" t="str">
        <f t="shared" si="4"/>
        <v>#DIV/0!</v>
      </c>
      <c r="J114" s="73" t="str">
        <f t="shared" si="5"/>
        <v>#DIV/0!</v>
      </c>
    </row>
    <row r="115">
      <c r="A115" s="67">
        <v>46210.0</v>
      </c>
      <c r="B115" s="68" t="str">
        <f t="shared" si="2"/>
        <v>terça-feira</v>
      </c>
      <c r="C115" s="81"/>
      <c r="D115" s="71"/>
      <c r="E115" s="71"/>
      <c r="F115" s="71" t="str">
        <f t="shared" ref="F115:G115" si="117">D115/C115</f>
        <v>#DIV/0!</v>
      </c>
      <c r="G115" s="72" t="str">
        <f t="shared" si="117"/>
        <v>#DIV/0!</v>
      </c>
      <c r="H115" s="70">
        <v>80.0</v>
      </c>
      <c r="I115" s="68" t="str">
        <f t="shared" si="4"/>
        <v>#DIV/0!</v>
      </c>
      <c r="J115" s="73" t="str">
        <f t="shared" si="5"/>
        <v>#DIV/0!</v>
      </c>
    </row>
    <row r="116">
      <c r="A116" s="67">
        <v>46211.0</v>
      </c>
      <c r="B116" s="68" t="str">
        <f t="shared" si="2"/>
        <v>quarta-feira</v>
      </c>
      <c r="C116" s="81"/>
      <c r="D116" s="71"/>
      <c r="E116" s="71"/>
      <c r="F116" s="71" t="str">
        <f t="shared" ref="F116:G116" si="118">D116/C116</f>
        <v>#DIV/0!</v>
      </c>
      <c r="G116" s="72" t="str">
        <f t="shared" si="118"/>
        <v>#DIV/0!</v>
      </c>
      <c r="H116" s="70">
        <v>80.0</v>
      </c>
      <c r="I116" s="68" t="str">
        <f t="shared" si="4"/>
        <v>#DIV/0!</v>
      </c>
      <c r="J116" s="73" t="str">
        <f t="shared" si="5"/>
        <v>#DIV/0!</v>
      </c>
    </row>
    <row r="117">
      <c r="A117" s="67">
        <v>46212.0</v>
      </c>
      <c r="B117" s="68" t="str">
        <f t="shared" si="2"/>
        <v>quinta-feira</v>
      </c>
      <c r="C117" s="81"/>
      <c r="D117" s="71"/>
      <c r="E117" s="71"/>
      <c r="F117" s="71" t="str">
        <f t="shared" ref="F117:G117" si="119">D117/C117</f>
        <v>#DIV/0!</v>
      </c>
      <c r="G117" s="72" t="str">
        <f t="shared" si="119"/>
        <v>#DIV/0!</v>
      </c>
      <c r="H117" s="70">
        <v>80.0</v>
      </c>
      <c r="I117" s="68" t="str">
        <f t="shared" si="4"/>
        <v>#DIV/0!</v>
      </c>
      <c r="J117" s="73" t="str">
        <f t="shared" si="5"/>
        <v>#DIV/0!</v>
      </c>
    </row>
    <row r="118">
      <c r="A118" s="67">
        <v>46213.0</v>
      </c>
      <c r="B118" s="68" t="str">
        <f t="shared" si="2"/>
        <v>sexta-feira</v>
      </c>
      <c r="C118" s="81"/>
      <c r="D118" s="71"/>
      <c r="E118" s="71"/>
      <c r="F118" s="71" t="str">
        <f t="shared" ref="F118:G118" si="120">D118/C118</f>
        <v>#DIV/0!</v>
      </c>
      <c r="G118" s="72" t="str">
        <f t="shared" si="120"/>
        <v>#DIV/0!</v>
      </c>
      <c r="H118" s="70">
        <v>80.0</v>
      </c>
      <c r="I118" s="68" t="str">
        <f t="shared" si="4"/>
        <v>#DIV/0!</v>
      </c>
      <c r="J118" s="73" t="str">
        <f t="shared" si="5"/>
        <v>#DIV/0!</v>
      </c>
    </row>
    <row r="119">
      <c r="A119" s="67">
        <v>46214.0</v>
      </c>
      <c r="B119" s="68" t="str">
        <f t="shared" si="2"/>
        <v>sábado</v>
      </c>
      <c r="C119" s="81"/>
      <c r="D119" s="71"/>
      <c r="E119" s="71"/>
      <c r="F119" s="71" t="str">
        <f t="shared" ref="F119:G119" si="121">D119/C119</f>
        <v>#DIV/0!</v>
      </c>
      <c r="G119" s="72" t="str">
        <f t="shared" si="121"/>
        <v>#DIV/0!</v>
      </c>
      <c r="H119" s="70">
        <v>80.0</v>
      </c>
      <c r="I119" s="68" t="str">
        <f t="shared" si="4"/>
        <v>#DIV/0!</v>
      </c>
      <c r="J119" s="73" t="str">
        <f t="shared" si="5"/>
        <v>#DIV/0!</v>
      </c>
    </row>
    <row r="120">
      <c r="A120" s="67">
        <v>46215.0</v>
      </c>
      <c r="B120" s="68" t="str">
        <f t="shared" si="2"/>
        <v>domingo</v>
      </c>
      <c r="C120" s="81"/>
      <c r="D120" s="71"/>
      <c r="E120" s="71"/>
      <c r="F120" s="71" t="str">
        <f t="shared" ref="F120:G120" si="122">D120/C120</f>
        <v>#DIV/0!</v>
      </c>
      <c r="G120" s="72" t="str">
        <f t="shared" si="122"/>
        <v>#DIV/0!</v>
      </c>
      <c r="H120" s="70">
        <v>80.0</v>
      </c>
      <c r="I120" s="68" t="str">
        <f t="shared" si="4"/>
        <v>#DIV/0!</v>
      </c>
      <c r="J120" s="73" t="str">
        <f t="shared" si="5"/>
        <v>#DIV/0!</v>
      </c>
    </row>
    <row r="121">
      <c r="A121" s="67">
        <v>46216.0</v>
      </c>
      <c r="B121" s="68" t="str">
        <f t="shared" si="2"/>
        <v>segunda-feira</v>
      </c>
      <c r="C121" s="81"/>
      <c r="D121" s="71"/>
      <c r="E121" s="71"/>
      <c r="F121" s="71" t="str">
        <f t="shared" ref="F121:G121" si="123">D121/C121</f>
        <v>#DIV/0!</v>
      </c>
      <c r="G121" s="72" t="str">
        <f t="shared" si="123"/>
        <v>#DIV/0!</v>
      </c>
      <c r="H121" s="70">
        <v>80.0</v>
      </c>
      <c r="I121" s="68" t="str">
        <f t="shared" si="4"/>
        <v>#DIV/0!</v>
      </c>
      <c r="J121" s="73" t="str">
        <f t="shared" si="5"/>
        <v>#DIV/0!</v>
      </c>
    </row>
    <row r="122">
      <c r="A122" s="67">
        <v>46217.0</v>
      </c>
      <c r="B122" s="68" t="str">
        <f t="shared" si="2"/>
        <v>terça-feira</v>
      </c>
      <c r="C122" s="81"/>
      <c r="D122" s="71"/>
      <c r="E122" s="71"/>
      <c r="F122" s="71" t="str">
        <f t="shared" ref="F122:G122" si="124">D122/C122</f>
        <v>#DIV/0!</v>
      </c>
      <c r="G122" s="72" t="str">
        <f t="shared" si="124"/>
        <v>#DIV/0!</v>
      </c>
      <c r="H122" s="70">
        <v>80.0</v>
      </c>
      <c r="I122" s="68" t="str">
        <f t="shared" si="4"/>
        <v>#DIV/0!</v>
      </c>
      <c r="J122" s="73" t="str">
        <f t="shared" si="5"/>
        <v>#DIV/0!</v>
      </c>
    </row>
    <row r="123">
      <c r="A123" s="67">
        <v>46218.0</v>
      </c>
      <c r="B123" s="68" t="str">
        <f t="shared" si="2"/>
        <v>quarta-feira</v>
      </c>
      <c r="C123" s="81"/>
      <c r="D123" s="71"/>
      <c r="E123" s="71"/>
      <c r="F123" s="71" t="str">
        <f t="shared" ref="F123:G123" si="125">D123/C123</f>
        <v>#DIV/0!</v>
      </c>
      <c r="G123" s="72" t="str">
        <f t="shared" si="125"/>
        <v>#DIV/0!</v>
      </c>
      <c r="H123" s="70">
        <v>80.0</v>
      </c>
      <c r="I123" s="68" t="str">
        <f t="shared" si="4"/>
        <v>#DIV/0!</v>
      </c>
      <c r="J123" s="73" t="str">
        <f t="shared" si="5"/>
        <v>#DIV/0!</v>
      </c>
    </row>
    <row r="124">
      <c r="A124" s="67">
        <v>46219.0</v>
      </c>
      <c r="B124" s="68" t="str">
        <f t="shared" si="2"/>
        <v>quinta-feira</v>
      </c>
      <c r="C124" s="81"/>
      <c r="D124" s="71"/>
      <c r="E124" s="71"/>
      <c r="F124" s="71" t="str">
        <f t="shared" ref="F124:G124" si="126">D124/C124</f>
        <v>#DIV/0!</v>
      </c>
      <c r="G124" s="72" t="str">
        <f t="shared" si="126"/>
        <v>#DIV/0!</v>
      </c>
      <c r="H124" s="70">
        <v>80.0</v>
      </c>
      <c r="I124" s="68" t="str">
        <f t="shared" si="4"/>
        <v>#DIV/0!</v>
      </c>
      <c r="J124" s="73" t="str">
        <f t="shared" si="5"/>
        <v>#DIV/0!</v>
      </c>
    </row>
    <row r="125">
      <c r="A125" s="67">
        <v>46220.0</v>
      </c>
      <c r="B125" s="68" t="str">
        <f t="shared" si="2"/>
        <v>sexta-feira</v>
      </c>
      <c r="C125" s="81"/>
      <c r="D125" s="71"/>
      <c r="E125" s="71"/>
      <c r="F125" s="71" t="str">
        <f t="shared" ref="F125:G125" si="127">D125/C125</f>
        <v>#DIV/0!</v>
      </c>
      <c r="G125" s="72" t="str">
        <f t="shared" si="127"/>
        <v>#DIV/0!</v>
      </c>
      <c r="H125" s="70">
        <v>80.0</v>
      </c>
      <c r="I125" s="68" t="str">
        <f t="shared" si="4"/>
        <v>#DIV/0!</v>
      </c>
      <c r="J125" s="73" t="str">
        <f t="shared" si="5"/>
        <v>#DIV/0!</v>
      </c>
    </row>
    <row r="126">
      <c r="A126" s="67">
        <v>46221.0</v>
      </c>
      <c r="B126" s="68" t="str">
        <f t="shared" si="2"/>
        <v>sábado</v>
      </c>
      <c r="C126" s="81"/>
      <c r="D126" s="71"/>
      <c r="E126" s="71"/>
      <c r="F126" s="71" t="str">
        <f t="shared" ref="F126:G126" si="128">D126/C126</f>
        <v>#DIV/0!</v>
      </c>
      <c r="G126" s="72" t="str">
        <f t="shared" si="128"/>
        <v>#DIV/0!</v>
      </c>
      <c r="H126" s="70">
        <v>80.0</v>
      </c>
      <c r="I126" s="68" t="str">
        <f t="shared" si="4"/>
        <v>#DIV/0!</v>
      </c>
      <c r="J126" s="73" t="str">
        <f t="shared" si="5"/>
        <v>#DIV/0!</v>
      </c>
    </row>
    <row r="127">
      <c r="A127" s="67">
        <v>46222.0</v>
      </c>
      <c r="B127" s="68" t="str">
        <f t="shared" si="2"/>
        <v>domingo</v>
      </c>
      <c r="C127" s="81"/>
      <c r="D127" s="71"/>
      <c r="E127" s="71"/>
      <c r="F127" s="71" t="str">
        <f t="shared" ref="F127:G127" si="129">D127/C127</f>
        <v>#DIV/0!</v>
      </c>
      <c r="G127" s="72" t="str">
        <f t="shared" si="129"/>
        <v>#DIV/0!</v>
      </c>
      <c r="H127" s="70">
        <v>80.0</v>
      </c>
      <c r="I127" s="68" t="str">
        <f t="shared" si="4"/>
        <v>#DIV/0!</v>
      </c>
      <c r="J127" s="73" t="str">
        <f t="shared" si="5"/>
        <v>#DIV/0!</v>
      </c>
    </row>
    <row r="128">
      <c r="A128" s="67">
        <v>46223.0</v>
      </c>
      <c r="B128" s="68" t="str">
        <f t="shared" si="2"/>
        <v>segunda-feira</v>
      </c>
      <c r="C128" s="81"/>
      <c r="D128" s="71"/>
      <c r="E128" s="71"/>
      <c r="F128" s="71" t="str">
        <f t="shared" ref="F128:G128" si="130">D128/C128</f>
        <v>#DIV/0!</v>
      </c>
      <c r="G128" s="72" t="str">
        <f t="shared" si="130"/>
        <v>#DIV/0!</v>
      </c>
      <c r="H128" s="70">
        <v>80.0</v>
      </c>
      <c r="I128" s="68" t="str">
        <f t="shared" si="4"/>
        <v>#DIV/0!</v>
      </c>
      <c r="J128" s="73" t="str">
        <f t="shared" si="5"/>
        <v>#DIV/0!</v>
      </c>
    </row>
    <row r="129">
      <c r="A129" s="67">
        <v>46224.0</v>
      </c>
      <c r="B129" s="68" t="str">
        <f t="shared" si="2"/>
        <v>terça-feira</v>
      </c>
      <c r="C129" s="81"/>
      <c r="D129" s="71"/>
      <c r="E129" s="71"/>
      <c r="F129" s="71" t="str">
        <f t="shared" ref="F129:G129" si="131">D129/C129</f>
        <v>#DIV/0!</v>
      </c>
      <c r="G129" s="72" t="str">
        <f t="shared" si="131"/>
        <v>#DIV/0!</v>
      </c>
      <c r="H129" s="70">
        <v>80.0</v>
      </c>
      <c r="I129" s="68" t="str">
        <f t="shared" si="4"/>
        <v>#DIV/0!</v>
      </c>
      <c r="J129" s="73" t="str">
        <f t="shared" si="5"/>
        <v>#DIV/0!</v>
      </c>
    </row>
    <row r="130">
      <c r="A130" s="67">
        <v>46225.0</v>
      </c>
      <c r="B130" s="68" t="str">
        <f t="shared" si="2"/>
        <v>quarta-feira</v>
      </c>
      <c r="C130" s="81"/>
      <c r="D130" s="71"/>
      <c r="E130" s="71"/>
      <c r="F130" s="71" t="str">
        <f t="shared" ref="F130:G130" si="132">D130/C130</f>
        <v>#DIV/0!</v>
      </c>
      <c r="G130" s="72" t="str">
        <f t="shared" si="132"/>
        <v>#DIV/0!</v>
      </c>
      <c r="H130" s="70">
        <v>80.0</v>
      </c>
      <c r="I130" s="68" t="str">
        <f t="shared" si="4"/>
        <v>#DIV/0!</v>
      </c>
      <c r="J130" s="73" t="str">
        <f t="shared" si="5"/>
        <v>#DIV/0!</v>
      </c>
    </row>
    <row r="131">
      <c r="A131" s="67">
        <v>46226.0</v>
      </c>
      <c r="B131" s="68" t="str">
        <f t="shared" si="2"/>
        <v>quinta-feira</v>
      </c>
      <c r="C131" s="81"/>
      <c r="D131" s="71"/>
      <c r="E131" s="71"/>
      <c r="F131" s="71" t="str">
        <f t="shared" ref="F131:G131" si="133">D131/C131</f>
        <v>#DIV/0!</v>
      </c>
      <c r="G131" s="72" t="str">
        <f t="shared" si="133"/>
        <v>#DIV/0!</v>
      </c>
      <c r="H131" s="70">
        <v>80.0</v>
      </c>
      <c r="I131" s="68" t="str">
        <f t="shared" si="4"/>
        <v>#DIV/0!</v>
      </c>
      <c r="J131" s="73" t="str">
        <f t="shared" si="5"/>
        <v>#DIV/0!</v>
      </c>
    </row>
    <row r="132">
      <c r="A132" s="67">
        <v>46227.0</v>
      </c>
      <c r="B132" s="68" t="str">
        <f t="shared" si="2"/>
        <v>sexta-feira</v>
      </c>
      <c r="C132" s="81"/>
      <c r="D132" s="71"/>
      <c r="E132" s="71"/>
      <c r="F132" s="71" t="str">
        <f t="shared" ref="F132:G132" si="134">D132/C132</f>
        <v>#DIV/0!</v>
      </c>
      <c r="G132" s="72" t="str">
        <f t="shared" si="134"/>
        <v>#DIV/0!</v>
      </c>
      <c r="H132" s="70">
        <v>80.0</v>
      </c>
      <c r="I132" s="68" t="str">
        <f t="shared" si="4"/>
        <v>#DIV/0!</v>
      </c>
      <c r="J132" s="73" t="str">
        <f t="shared" si="5"/>
        <v>#DIV/0!</v>
      </c>
    </row>
    <row r="133">
      <c r="A133" s="67">
        <v>46228.0</v>
      </c>
      <c r="B133" s="68" t="str">
        <f t="shared" si="2"/>
        <v>sábado</v>
      </c>
      <c r="C133" s="81"/>
      <c r="D133" s="71"/>
      <c r="E133" s="71"/>
      <c r="F133" s="71" t="str">
        <f t="shared" ref="F133:G133" si="135">D133/C133</f>
        <v>#DIV/0!</v>
      </c>
      <c r="G133" s="72" t="str">
        <f t="shared" si="135"/>
        <v>#DIV/0!</v>
      </c>
      <c r="H133" s="70">
        <v>80.0</v>
      </c>
      <c r="I133" s="68" t="str">
        <f t="shared" si="4"/>
        <v>#DIV/0!</v>
      </c>
      <c r="J133" s="73" t="str">
        <f t="shared" si="5"/>
        <v>#DIV/0!</v>
      </c>
    </row>
    <row r="134">
      <c r="A134" s="67">
        <v>46229.0</v>
      </c>
      <c r="B134" s="68" t="str">
        <f t="shared" si="2"/>
        <v>domingo</v>
      </c>
      <c r="C134" s="81"/>
      <c r="D134" s="71"/>
      <c r="E134" s="71"/>
      <c r="F134" s="71" t="str">
        <f t="shared" ref="F134:G134" si="136">D134/C134</f>
        <v>#DIV/0!</v>
      </c>
      <c r="G134" s="72" t="str">
        <f t="shared" si="136"/>
        <v>#DIV/0!</v>
      </c>
      <c r="H134" s="70">
        <v>80.0</v>
      </c>
      <c r="I134" s="68" t="str">
        <f t="shared" si="4"/>
        <v>#DIV/0!</v>
      </c>
      <c r="J134" s="73" t="str">
        <f t="shared" si="5"/>
        <v>#DIV/0!</v>
      </c>
    </row>
    <row r="135">
      <c r="A135" s="67">
        <v>46230.0</v>
      </c>
      <c r="B135" s="68" t="str">
        <f t="shared" si="2"/>
        <v>segunda-feira</v>
      </c>
      <c r="C135" s="81"/>
      <c r="D135" s="71"/>
      <c r="E135" s="71"/>
      <c r="F135" s="71" t="str">
        <f t="shared" ref="F135:G135" si="137">D135/C135</f>
        <v>#DIV/0!</v>
      </c>
      <c r="G135" s="72" t="str">
        <f t="shared" si="137"/>
        <v>#DIV/0!</v>
      </c>
      <c r="H135" s="70">
        <v>80.0</v>
      </c>
      <c r="I135" s="68" t="str">
        <f t="shared" si="4"/>
        <v>#DIV/0!</v>
      </c>
      <c r="J135" s="73" t="str">
        <f t="shared" si="5"/>
        <v>#DIV/0!</v>
      </c>
    </row>
    <row r="136">
      <c r="A136" s="67">
        <v>46231.0</v>
      </c>
      <c r="B136" s="68" t="str">
        <f t="shared" si="2"/>
        <v>terça-feira</v>
      </c>
      <c r="C136" s="81"/>
      <c r="D136" s="71"/>
      <c r="E136" s="71"/>
      <c r="F136" s="71" t="str">
        <f t="shared" ref="F136:G136" si="138">D136/C136</f>
        <v>#DIV/0!</v>
      </c>
      <c r="G136" s="72" t="str">
        <f t="shared" si="138"/>
        <v>#DIV/0!</v>
      </c>
      <c r="H136" s="70">
        <v>80.0</v>
      </c>
      <c r="I136" s="68" t="str">
        <f t="shared" si="4"/>
        <v>#DIV/0!</v>
      </c>
      <c r="J136" s="73" t="str">
        <f t="shared" si="5"/>
        <v>#DIV/0!</v>
      </c>
    </row>
    <row r="137">
      <c r="A137" s="67">
        <v>46232.0</v>
      </c>
      <c r="B137" s="68" t="str">
        <f t="shared" si="2"/>
        <v>quarta-feira</v>
      </c>
      <c r="C137" s="81"/>
      <c r="D137" s="71"/>
      <c r="E137" s="71"/>
      <c r="F137" s="71" t="str">
        <f t="shared" ref="F137:G137" si="139">D137/C137</f>
        <v>#DIV/0!</v>
      </c>
      <c r="G137" s="72" t="str">
        <f t="shared" si="139"/>
        <v>#DIV/0!</v>
      </c>
      <c r="H137" s="70">
        <v>80.0</v>
      </c>
      <c r="I137" s="68" t="str">
        <f t="shared" si="4"/>
        <v>#DIV/0!</v>
      </c>
      <c r="J137" s="73" t="str">
        <f t="shared" si="5"/>
        <v>#DIV/0!</v>
      </c>
    </row>
    <row r="138">
      <c r="A138" s="67">
        <v>46233.0</v>
      </c>
      <c r="B138" s="68" t="str">
        <f t="shared" si="2"/>
        <v>quinta-feira</v>
      </c>
      <c r="C138" s="81"/>
      <c r="D138" s="71"/>
      <c r="E138" s="71"/>
      <c r="F138" s="71" t="str">
        <f t="shared" ref="F138:G138" si="140">D138/C138</f>
        <v>#DIV/0!</v>
      </c>
      <c r="G138" s="72" t="str">
        <f t="shared" si="140"/>
        <v>#DIV/0!</v>
      </c>
      <c r="H138" s="70">
        <v>80.0</v>
      </c>
      <c r="I138" s="68" t="str">
        <f t="shared" si="4"/>
        <v>#DIV/0!</v>
      </c>
      <c r="J138" s="73" t="str">
        <f t="shared" si="5"/>
        <v>#DIV/0!</v>
      </c>
    </row>
    <row r="139">
      <c r="A139" s="67">
        <v>46234.0</v>
      </c>
      <c r="B139" s="68" t="str">
        <f t="shared" si="2"/>
        <v>sexta-feira</v>
      </c>
      <c r="C139" s="81"/>
      <c r="D139" s="71"/>
      <c r="E139" s="71"/>
      <c r="F139" s="71" t="str">
        <f t="shared" ref="F139:G139" si="141">D139/C139</f>
        <v>#DIV/0!</v>
      </c>
      <c r="G139" s="72" t="str">
        <f t="shared" si="141"/>
        <v>#DIV/0!</v>
      </c>
      <c r="H139" s="70">
        <v>80.0</v>
      </c>
      <c r="I139" s="68" t="str">
        <f t="shared" si="4"/>
        <v>#DIV/0!</v>
      </c>
      <c r="J139" s="73" t="str">
        <f t="shared" si="5"/>
        <v>#DIV/0!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25.13"/>
  </cols>
  <sheetData>
    <row r="1">
      <c r="A1" s="82" t="s">
        <v>57</v>
      </c>
      <c r="B1" s="82" t="s">
        <v>58</v>
      </c>
      <c r="C1" s="82" t="s">
        <v>59</v>
      </c>
    </row>
    <row r="2">
      <c r="A2" s="83" t="s">
        <v>60</v>
      </c>
      <c r="B2" s="84">
        <f t="shared" ref="B2:C2" si="1">57.53</f>
        <v>57.53</v>
      </c>
      <c r="C2" s="84">
        <f t="shared" si="1"/>
        <v>57.53</v>
      </c>
    </row>
    <row r="3">
      <c r="A3" s="83" t="s">
        <v>61</v>
      </c>
      <c r="B3" s="84"/>
      <c r="C3" s="84"/>
    </row>
    <row r="4">
      <c r="A4" s="83" t="s">
        <v>62</v>
      </c>
      <c r="B4" s="85"/>
      <c r="C4" s="85"/>
    </row>
    <row r="5">
      <c r="A5" s="86"/>
      <c r="B5" s="86"/>
      <c r="C5" s="86"/>
    </row>
    <row r="6">
      <c r="A6" s="83" t="s">
        <v>63</v>
      </c>
      <c r="B6" s="87">
        <v>3000.0</v>
      </c>
      <c r="C6" s="87">
        <v>3000.0</v>
      </c>
    </row>
    <row r="7">
      <c r="A7" s="83" t="s">
        <v>64</v>
      </c>
      <c r="B7" s="88">
        <f t="shared" ref="B7:C7" si="2">B6*B2</f>
        <v>172590</v>
      </c>
      <c r="C7" s="88">
        <f t="shared" si="2"/>
        <v>172590</v>
      </c>
    </row>
    <row r="8">
      <c r="A8" s="83"/>
      <c r="B8" s="88"/>
      <c r="C8" s="88"/>
    </row>
    <row r="9">
      <c r="A9" s="82" t="s">
        <v>65</v>
      </c>
      <c r="B9" s="89"/>
      <c r="C9" s="89"/>
    </row>
    <row r="10">
      <c r="A10" s="82" t="s">
        <v>66</v>
      </c>
      <c r="B10" s="90" t="str">
        <f t="shared" ref="B10:C10" si="3">B7/B16</f>
        <v>#DIV/0!</v>
      </c>
      <c r="C10" s="90" t="str">
        <f t="shared" si="3"/>
        <v>#DIV/0!</v>
      </c>
    </row>
    <row r="11">
      <c r="A11" s="86"/>
      <c r="B11" s="86"/>
      <c r="C11" s="86"/>
    </row>
    <row r="12">
      <c r="A12" s="83" t="s">
        <v>67</v>
      </c>
      <c r="B12" s="86">
        <f t="shared" ref="B12:C12" si="4">B6*B4</f>
        <v>0</v>
      </c>
      <c r="C12" s="86">
        <f t="shared" si="4"/>
        <v>0</v>
      </c>
    </row>
    <row r="13">
      <c r="A13" s="83" t="s">
        <v>68</v>
      </c>
      <c r="B13" s="91">
        <f t="shared" ref="B13:C13" si="5">B12*B3</f>
        <v>0</v>
      </c>
      <c r="C13" s="91">
        <f t="shared" si="5"/>
        <v>0</v>
      </c>
    </row>
    <row r="14">
      <c r="A14" s="86"/>
      <c r="B14" s="86"/>
      <c r="C14" s="86"/>
    </row>
    <row r="15">
      <c r="A15" s="83" t="s">
        <v>69</v>
      </c>
      <c r="B15" s="91">
        <f t="shared" ref="B15:C15" si="6">B7+B13</f>
        <v>172590</v>
      </c>
      <c r="C15" s="91">
        <f t="shared" si="6"/>
        <v>172590</v>
      </c>
    </row>
    <row r="16">
      <c r="A16" s="83" t="s">
        <v>70</v>
      </c>
      <c r="B16" s="91">
        <f t="shared" ref="B16:C16" si="7">B6*B9</f>
        <v>0</v>
      </c>
      <c r="C16" s="91">
        <f t="shared" si="7"/>
        <v>0</v>
      </c>
    </row>
    <row r="17">
      <c r="A17" s="83"/>
      <c r="B17" s="91"/>
      <c r="C17" s="91"/>
    </row>
    <row r="18">
      <c r="A18" s="82" t="s">
        <v>71</v>
      </c>
      <c r="B18" s="92">
        <f t="shared" ref="B18:C18" si="8">B15-B16</f>
        <v>172590</v>
      </c>
      <c r="C18" s="92">
        <f t="shared" si="8"/>
        <v>172590</v>
      </c>
    </row>
    <row r="19">
      <c r="A19" s="82" t="s">
        <v>47</v>
      </c>
      <c r="B19" s="90" t="str">
        <f t="shared" ref="B19:C19" si="9">B15/B16</f>
        <v>#DIV/0!</v>
      </c>
      <c r="C19" s="90" t="str">
        <f t="shared" si="9"/>
        <v>#DIV/0!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0.13"/>
    <col customWidth="1" min="4" max="4" width="25.13"/>
    <col customWidth="1" min="5" max="5" width="37.63"/>
  </cols>
  <sheetData>
    <row r="1">
      <c r="A1" s="93" t="s">
        <v>72</v>
      </c>
    </row>
    <row r="2">
      <c r="A2" s="94" t="s">
        <v>73</v>
      </c>
      <c r="C2" s="95" t="s">
        <v>74</v>
      </c>
    </row>
    <row r="3">
      <c r="A3" s="96" t="s">
        <v>75</v>
      </c>
      <c r="B3" s="97" t="s">
        <v>76</v>
      </c>
      <c r="C3" s="96" t="s">
        <v>77</v>
      </c>
      <c r="D3" s="98" t="s">
        <v>78</v>
      </c>
      <c r="E3" s="96" t="s">
        <v>79</v>
      </c>
    </row>
    <row r="4">
      <c r="A4" s="99" t="s">
        <v>80</v>
      </c>
      <c r="B4" s="100" t="s">
        <v>81</v>
      </c>
      <c r="C4" s="101" t="str">
        <f t="shared" ref="C4:C30" si="1">$C$2&amp;B4</f>
        <v>lpsg.dominio.com.br/cadastro-v1</v>
      </c>
      <c r="D4" s="102"/>
      <c r="E4" s="103"/>
    </row>
    <row r="5">
      <c r="A5" s="104" t="s">
        <v>82</v>
      </c>
      <c r="B5" s="105" t="s">
        <v>83</v>
      </c>
      <c r="C5" s="106" t="str">
        <f t="shared" si="1"/>
        <v>lpsg.dominio.com.br/cadastro-v2</v>
      </c>
      <c r="D5" s="107"/>
      <c r="E5" s="108"/>
    </row>
    <row r="6">
      <c r="A6" s="99" t="s">
        <v>84</v>
      </c>
      <c r="B6" s="100" t="s">
        <v>85</v>
      </c>
      <c r="C6" s="101" t="str">
        <f t="shared" si="1"/>
        <v>lpsg.dominio.com.br/cadastro-v3</v>
      </c>
      <c r="D6" s="102"/>
      <c r="E6" s="103"/>
    </row>
    <row r="7">
      <c r="A7" s="104" t="s">
        <v>86</v>
      </c>
      <c r="B7" s="105" t="s">
        <v>87</v>
      </c>
      <c r="C7" s="106" t="str">
        <f t="shared" si="1"/>
        <v>lpsg.dominio.com.br/cadastro-v4</v>
      </c>
      <c r="D7" s="107"/>
      <c r="E7" s="108"/>
    </row>
    <row r="8">
      <c r="A8" s="99" t="s">
        <v>88</v>
      </c>
      <c r="B8" s="100" t="s">
        <v>89</v>
      </c>
      <c r="C8" s="101" t="str">
        <f t="shared" si="1"/>
        <v>lpsg.dominio.com.br/cadastro-v5</v>
      </c>
      <c r="D8" s="102"/>
      <c r="E8" s="103"/>
    </row>
    <row r="9">
      <c r="A9" s="104" t="s">
        <v>90</v>
      </c>
      <c r="B9" s="105" t="s">
        <v>91</v>
      </c>
      <c r="C9" s="106" t="str">
        <f t="shared" si="1"/>
        <v>lpsg.dominio.com.br/cadastro-v6</v>
      </c>
      <c r="D9" s="107"/>
      <c r="E9" s="108"/>
    </row>
    <row r="10">
      <c r="A10" s="99" t="s">
        <v>92</v>
      </c>
      <c r="B10" s="100" t="s">
        <v>93</v>
      </c>
      <c r="C10" s="101" t="str">
        <f t="shared" si="1"/>
        <v>lpsg.dominio.com.br/cadastro-v7</v>
      </c>
      <c r="D10" s="102"/>
      <c r="E10" s="103"/>
    </row>
    <row r="11">
      <c r="A11" s="104" t="s">
        <v>94</v>
      </c>
      <c r="B11" s="105" t="s">
        <v>95</v>
      </c>
      <c r="C11" s="106" t="str">
        <f t="shared" si="1"/>
        <v>lpsg.dominio.com.br/cadastro-v8</v>
      </c>
      <c r="D11" s="107"/>
      <c r="E11" s="109"/>
    </row>
    <row r="12">
      <c r="A12" s="99" t="s">
        <v>96</v>
      </c>
      <c r="B12" s="100" t="s">
        <v>97</v>
      </c>
      <c r="C12" s="101" t="str">
        <f t="shared" si="1"/>
        <v>lpsg.dominio.com.br/cadastro-v9</v>
      </c>
      <c r="D12" s="102"/>
      <c r="E12" s="110"/>
    </row>
    <row r="13">
      <c r="A13" s="104" t="s">
        <v>98</v>
      </c>
      <c r="B13" s="105" t="s">
        <v>99</v>
      </c>
      <c r="C13" s="106" t="str">
        <f t="shared" si="1"/>
        <v>lpsg.dominio.com.br/cadastro-v10</v>
      </c>
      <c r="D13" s="107"/>
      <c r="E13" s="109"/>
    </row>
    <row r="14">
      <c r="A14" s="99" t="s">
        <v>100</v>
      </c>
      <c r="B14" s="100" t="s">
        <v>101</v>
      </c>
      <c r="C14" s="101" t="str">
        <f t="shared" si="1"/>
        <v>lpsg.dominio.com.br/cadastro-v11</v>
      </c>
      <c r="D14" s="102"/>
      <c r="E14" s="110"/>
    </row>
    <row r="15">
      <c r="A15" s="104" t="s">
        <v>102</v>
      </c>
      <c r="B15" s="105" t="s">
        <v>103</v>
      </c>
      <c r="C15" s="106" t="str">
        <f t="shared" si="1"/>
        <v>lpsg.dominio.com.br/cadastro-v12</v>
      </c>
      <c r="D15" s="107"/>
      <c r="E15" s="109"/>
    </row>
    <row r="16">
      <c r="A16" s="99" t="s">
        <v>104</v>
      </c>
      <c r="B16" s="100" t="s">
        <v>105</v>
      </c>
      <c r="C16" s="101" t="str">
        <f t="shared" si="1"/>
        <v>lpsg.dominio.com.br/cadastro-v13</v>
      </c>
      <c r="D16" s="102"/>
      <c r="E16" s="110"/>
    </row>
    <row r="17">
      <c r="A17" s="104" t="s">
        <v>106</v>
      </c>
      <c r="B17" s="105" t="s">
        <v>107</v>
      </c>
      <c r="C17" s="106" t="str">
        <f t="shared" si="1"/>
        <v>lpsg.dominio.com.br/cadastro-v14</v>
      </c>
      <c r="D17" s="107"/>
      <c r="E17" s="109"/>
    </row>
    <row r="18">
      <c r="A18" s="99" t="s">
        <v>108</v>
      </c>
      <c r="B18" s="100" t="s">
        <v>109</v>
      </c>
      <c r="C18" s="101" t="str">
        <f t="shared" si="1"/>
        <v>lpsg.dominio.com.br/cadastro-v15</v>
      </c>
      <c r="D18" s="102"/>
      <c r="E18" s="110"/>
    </row>
    <row r="19">
      <c r="A19" s="104" t="s">
        <v>110</v>
      </c>
      <c r="B19" s="105" t="s">
        <v>111</v>
      </c>
      <c r="C19" s="106" t="str">
        <f t="shared" si="1"/>
        <v>lpsg.dominio.com.br/cadastro-v16</v>
      </c>
      <c r="D19" s="107"/>
      <c r="E19" s="109"/>
    </row>
    <row r="20">
      <c r="A20" s="99" t="s">
        <v>112</v>
      </c>
      <c r="B20" s="100" t="s">
        <v>113</v>
      </c>
      <c r="C20" s="101" t="str">
        <f t="shared" si="1"/>
        <v>lpsg.dominio.com.br/cadastro-v17</v>
      </c>
      <c r="D20" s="102"/>
      <c r="E20" s="110"/>
    </row>
    <row r="21">
      <c r="A21" s="104" t="s">
        <v>114</v>
      </c>
      <c r="B21" s="105" t="s">
        <v>115</v>
      </c>
      <c r="C21" s="106" t="str">
        <f t="shared" si="1"/>
        <v>lpsg.dominio.com.br/cadastro-v18</v>
      </c>
      <c r="D21" s="107"/>
      <c r="E21" s="109"/>
    </row>
    <row r="22">
      <c r="A22" s="99" t="s">
        <v>116</v>
      </c>
      <c r="B22" s="100" t="s">
        <v>117</v>
      </c>
      <c r="C22" s="101" t="str">
        <f t="shared" si="1"/>
        <v>lpsg.dominio.com.br/cadastro-v19</v>
      </c>
      <c r="D22" s="102"/>
      <c r="E22" s="110"/>
    </row>
    <row r="23">
      <c r="A23" s="104" t="s">
        <v>118</v>
      </c>
      <c r="B23" s="105" t="s">
        <v>119</v>
      </c>
      <c r="C23" s="106" t="str">
        <f t="shared" si="1"/>
        <v>lpsg.dominio.com.br/cadastro-v20</v>
      </c>
      <c r="D23" s="107"/>
      <c r="E23" s="109"/>
    </row>
    <row r="24">
      <c r="A24" s="99" t="s">
        <v>120</v>
      </c>
      <c r="B24" s="100" t="s">
        <v>121</v>
      </c>
      <c r="C24" s="101" t="str">
        <f t="shared" si="1"/>
        <v>lpsg.dominio.com.br/cadastro-v21</v>
      </c>
      <c r="D24" s="102"/>
      <c r="E24" s="110"/>
    </row>
    <row r="25">
      <c r="A25" s="104" t="s">
        <v>122</v>
      </c>
      <c r="B25" s="105" t="s">
        <v>123</v>
      </c>
      <c r="C25" s="106" t="str">
        <f t="shared" si="1"/>
        <v>lpsg.dominio.com.br/cadastro-v22</v>
      </c>
      <c r="D25" s="107"/>
      <c r="E25" s="109"/>
    </row>
    <row r="26">
      <c r="A26" s="99" t="s">
        <v>124</v>
      </c>
      <c r="B26" s="100" t="s">
        <v>125</v>
      </c>
      <c r="C26" s="101" t="str">
        <f t="shared" si="1"/>
        <v>lpsg.dominio.com.br/cadastro-v23</v>
      </c>
      <c r="D26" s="102"/>
      <c r="E26" s="110"/>
    </row>
    <row r="27">
      <c r="A27" s="104" t="s">
        <v>126</v>
      </c>
      <c r="B27" s="105" t="s">
        <v>127</v>
      </c>
      <c r="C27" s="106" t="str">
        <f t="shared" si="1"/>
        <v>lpsg.dominio.com.br/cadastro-v24</v>
      </c>
      <c r="D27" s="107"/>
      <c r="E27" s="109"/>
    </row>
    <row r="28">
      <c r="A28" s="99" t="s">
        <v>128</v>
      </c>
      <c r="B28" s="100" t="s">
        <v>129</v>
      </c>
      <c r="C28" s="101" t="str">
        <f t="shared" si="1"/>
        <v>lpsg.dominio.com.br/cadastro-v25</v>
      </c>
      <c r="D28" s="102"/>
      <c r="E28" s="110"/>
    </row>
    <row r="29">
      <c r="A29" s="104" t="s">
        <v>130</v>
      </c>
      <c r="B29" s="105" t="s">
        <v>131</v>
      </c>
      <c r="C29" s="106" t="str">
        <f t="shared" si="1"/>
        <v>lpsg.dominio.com.br/cadastro-v26</v>
      </c>
      <c r="D29" s="107"/>
      <c r="E29" s="109"/>
    </row>
    <row r="30">
      <c r="A30" s="99" t="s">
        <v>132</v>
      </c>
      <c r="B30" s="100" t="s">
        <v>133</v>
      </c>
      <c r="C30" s="101" t="str">
        <f t="shared" si="1"/>
        <v>lpsg.dominio.com.br/cadastro-v27</v>
      </c>
      <c r="D30" s="102"/>
      <c r="E30" s="110"/>
    </row>
  </sheetData>
  <mergeCells count="3">
    <mergeCell ref="A1:E1"/>
    <mergeCell ref="A2:B2"/>
    <mergeCell ref="C2:E2"/>
  </mergeCells>
  <dataValidations>
    <dataValidation type="list" allowBlank="1" showErrorMessage="1" sqref="D4:D30">
      <formula1>"Em produção,Pronto para Rodar,Solicitado ajuste,No Ar,Fora do Ar,CONFERIR,AJUSTADO"</formula1>
    </dataValidation>
  </dataValidations>
  <hyperlinks>
    <hyperlink r:id="rId1" ref="C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43.88"/>
    <col customWidth="1" min="3" max="3" width="25.13"/>
    <col customWidth="1" min="4" max="4" width="50.13"/>
    <col customWidth="1" min="5" max="6" width="25.13"/>
  </cols>
  <sheetData>
    <row r="1">
      <c r="A1" s="93" t="s">
        <v>134</v>
      </c>
    </row>
    <row r="2">
      <c r="A2" s="94" t="s">
        <v>73</v>
      </c>
      <c r="C2" s="95" t="s">
        <v>74</v>
      </c>
    </row>
    <row r="3">
      <c r="A3" s="97" t="s">
        <v>135</v>
      </c>
      <c r="B3" s="97" t="s">
        <v>136</v>
      </c>
      <c r="C3" s="97" t="s">
        <v>76</v>
      </c>
      <c r="D3" s="96" t="s">
        <v>77</v>
      </c>
      <c r="E3" s="98" t="s">
        <v>78</v>
      </c>
      <c r="F3" s="96" t="s">
        <v>79</v>
      </c>
    </row>
    <row r="4">
      <c r="A4" s="100" t="s">
        <v>137</v>
      </c>
      <c r="B4" s="100" t="s">
        <v>138</v>
      </c>
      <c r="C4" s="100" t="s">
        <v>139</v>
      </c>
      <c r="D4" s="101" t="str">
        <f t="shared" ref="D4:D10" si="1">$C$2&amp;C4</f>
        <v>lpsg.dominio.com.br/obrigado-confirmado</v>
      </c>
      <c r="E4" s="102"/>
      <c r="F4" s="103"/>
    </row>
    <row r="5">
      <c r="A5" s="105" t="s">
        <v>137</v>
      </c>
      <c r="B5" s="105" t="s">
        <v>140</v>
      </c>
      <c r="C5" s="105" t="s">
        <v>141</v>
      </c>
      <c r="D5" s="106" t="str">
        <f t="shared" si="1"/>
        <v>lpsg.dominio.com.br/obrigado-pendente</v>
      </c>
      <c r="E5" s="107"/>
      <c r="F5" s="108"/>
    </row>
    <row r="6">
      <c r="A6" s="100" t="s">
        <v>137</v>
      </c>
      <c r="B6" s="100" t="s">
        <v>142</v>
      </c>
      <c r="C6" s="100" t="s">
        <v>143</v>
      </c>
      <c r="D6" s="101" t="str">
        <f t="shared" si="1"/>
        <v>lpsg.dominio.com.br/pesquisa-cadastro</v>
      </c>
      <c r="E6" s="102"/>
      <c r="F6" s="103"/>
    </row>
    <row r="7">
      <c r="A7" s="105" t="s">
        <v>144</v>
      </c>
      <c r="B7" s="105" t="s">
        <v>145</v>
      </c>
      <c r="C7" s="105" t="s">
        <v>146</v>
      </c>
      <c r="D7" s="106" t="str">
        <f t="shared" si="1"/>
        <v>lpsg.dominio.com.br/ficha-interesse</v>
      </c>
      <c r="E7" s="107"/>
      <c r="F7" s="108"/>
    </row>
    <row r="8">
      <c r="A8" s="100" t="s">
        <v>38</v>
      </c>
      <c r="B8" s="100" t="s">
        <v>147</v>
      </c>
      <c r="C8" s="100" t="s">
        <v>148</v>
      </c>
      <c r="D8" s="101" t="str">
        <f t="shared" si="1"/>
        <v>lpsg.dominio.com.br/inscricao-d1</v>
      </c>
      <c r="E8" s="102"/>
      <c r="F8" s="103"/>
    </row>
    <row r="9">
      <c r="A9" s="105" t="s">
        <v>38</v>
      </c>
      <c r="B9" s="105" t="s">
        <v>149</v>
      </c>
      <c r="C9" s="105" t="s">
        <v>150</v>
      </c>
      <c r="D9" s="106" t="str">
        <f t="shared" si="1"/>
        <v>lpsg.dominio.com.br/inscricao-geral</v>
      </c>
      <c r="E9" s="107"/>
      <c r="F9" s="108"/>
    </row>
    <row r="10">
      <c r="A10" s="100" t="s">
        <v>151</v>
      </c>
      <c r="B10" s="111" t="s">
        <v>152</v>
      </c>
      <c r="C10" s="111" t="s">
        <v>153</v>
      </c>
      <c r="D10" s="112" t="str">
        <f t="shared" si="1"/>
        <v>lpsg.dominio.com.br/pesquisa-nps</v>
      </c>
      <c r="E10" s="102"/>
      <c r="F10" s="111"/>
    </row>
    <row r="11">
      <c r="A11" s="109"/>
      <c r="B11" s="109"/>
      <c r="C11" s="109"/>
      <c r="D11" s="109"/>
      <c r="E11" s="109"/>
      <c r="F11" s="109"/>
    </row>
    <row r="12">
      <c r="A12" s="110"/>
      <c r="B12" s="110"/>
      <c r="C12" s="110"/>
      <c r="D12" s="110"/>
      <c r="E12" s="110"/>
      <c r="F12" s="110"/>
    </row>
    <row r="13">
      <c r="A13" s="109"/>
      <c r="B13" s="109"/>
      <c r="C13" s="109"/>
      <c r="D13" s="109"/>
      <c r="E13" s="109"/>
      <c r="F13" s="109"/>
    </row>
    <row r="14">
      <c r="A14" s="110"/>
      <c r="B14" s="110"/>
      <c r="C14" s="110"/>
      <c r="D14" s="110"/>
      <c r="E14" s="110"/>
      <c r="F14" s="110"/>
    </row>
    <row r="15">
      <c r="A15" s="109"/>
      <c r="B15" s="109"/>
      <c r="C15" s="109"/>
      <c r="D15" s="109"/>
      <c r="E15" s="109"/>
      <c r="F15" s="109"/>
    </row>
    <row r="16">
      <c r="A16" s="110"/>
      <c r="B16" s="110"/>
      <c r="C16" s="110"/>
      <c r="D16" s="110"/>
      <c r="E16" s="110"/>
      <c r="F16" s="110"/>
    </row>
    <row r="17">
      <c r="A17" s="109"/>
      <c r="B17" s="109"/>
      <c r="C17" s="109"/>
      <c r="D17" s="109"/>
      <c r="E17" s="109"/>
      <c r="F17" s="109"/>
    </row>
    <row r="18">
      <c r="A18" s="110"/>
      <c r="B18" s="110"/>
      <c r="C18" s="110"/>
      <c r="D18" s="110"/>
      <c r="E18" s="110"/>
      <c r="F18" s="110"/>
    </row>
    <row r="19">
      <c r="A19" s="109"/>
      <c r="B19" s="109"/>
      <c r="C19" s="109"/>
      <c r="D19" s="109"/>
      <c r="E19" s="109"/>
      <c r="F19" s="109"/>
    </row>
    <row r="20">
      <c r="A20" s="110"/>
      <c r="B20" s="110"/>
      <c r="C20" s="110"/>
      <c r="D20" s="110"/>
      <c r="E20" s="110"/>
      <c r="F20" s="110"/>
    </row>
    <row r="21">
      <c r="A21" s="109"/>
      <c r="B21" s="109"/>
      <c r="C21" s="109"/>
      <c r="D21" s="109"/>
      <c r="E21" s="109"/>
      <c r="F21" s="109"/>
    </row>
    <row r="22">
      <c r="A22" s="110"/>
      <c r="B22" s="110"/>
      <c r="C22" s="110"/>
      <c r="D22" s="110"/>
      <c r="E22" s="110"/>
      <c r="F22" s="110"/>
    </row>
    <row r="23">
      <c r="A23" s="109"/>
      <c r="B23" s="109"/>
      <c r="C23" s="109"/>
      <c r="D23" s="109"/>
      <c r="E23" s="109"/>
      <c r="F23" s="109"/>
    </row>
    <row r="24">
      <c r="A24" s="110"/>
      <c r="B24" s="110"/>
      <c r="C24" s="110"/>
      <c r="D24" s="110"/>
      <c r="E24" s="110"/>
      <c r="F24" s="110"/>
    </row>
    <row r="25">
      <c r="A25" s="109"/>
      <c r="B25" s="109"/>
      <c r="C25" s="109"/>
      <c r="D25" s="109"/>
      <c r="E25" s="109"/>
      <c r="F25" s="109"/>
    </row>
    <row r="26">
      <c r="A26" s="110"/>
      <c r="B26" s="110"/>
      <c r="C26" s="110"/>
      <c r="D26" s="110"/>
      <c r="E26" s="110"/>
      <c r="F26" s="110"/>
    </row>
    <row r="27">
      <c r="A27" s="109"/>
      <c r="B27" s="109"/>
      <c r="C27" s="109"/>
      <c r="D27" s="109"/>
      <c r="E27" s="109"/>
      <c r="F27" s="109"/>
    </row>
    <row r="28">
      <c r="A28" s="110"/>
      <c r="B28" s="110"/>
      <c r="C28" s="110"/>
      <c r="D28" s="110"/>
      <c r="E28" s="110"/>
      <c r="F28" s="110"/>
    </row>
    <row r="29">
      <c r="A29" s="109"/>
      <c r="B29" s="109"/>
      <c r="C29" s="109"/>
      <c r="D29" s="109"/>
      <c r="E29" s="109"/>
      <c r="F29" s="109"/>
    </row>
    <row r="30">
      <c r="A30" s="110"/>
      <c r="B30" s="110"/>
      <c r="C30" s="110"/>
      <c r="D30" s="110"/>
      <c r="E30" s="110"/>
      <c r="F30" s="110"/>
    </row>
  </sheetData>
  <mergeCells count="3">
    <mergeCell ref="A1:F1"/>
    <mergeCell ref="A2:B2"/>
    <mergeCell ref="C2:F2"/>
  </mergeCells>
  <dataValidations>
    <dataValidation type="list" allowBlank="1" showErrorMessage="1" sqref="A4:A10">
      <formula1>"Captação,Evento,Vendas,Pós-vendas,Geral,Grupos SendFlow"</formula1>
    </dataValidation>
    <dataValidation type="list" allowBlank="1" showErrorMessage="1" sqref="E4:E10">
      <formula1>"Em produção,Pronto para Rodar,Solicitado ajuste,No Ar,Fora do Ar,CONFERIR,AJUSTADO"</formula1>
    </dataValidation>
  </dataValidations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3.88"/>
    <col customWidth="1" min="3" max="3" width="25.13"/>
    <col customWidth="1" min="4" max="4" width="50.13"/>
    <col customWidth="1" min="5" max="5" width="25.13"/>
    <col customWidth="1" min="6" max="6" width="31.38"/>
  </cols>
  <sheetData>
    <row r="1">
      <c r="A1" s="113" t="s">
        <v>154</v>
      </c>
    </row>
    <row r="2">
      <c r="A2" s="114" t="s">
        <v>73</v>
      </c>
      <c r="C2" s="95" t="s">
        <v>74</v>
      </c>
    </row>
    <row r="3">
      <c r="A3" s="115" t="s">
        <v>135</v>
      </c>
      <c r="B3" s="115" t="s">
        <v>136</v>
      </c>
      <c r="C3" s="115" t="s">
        <v>76</v>
      </c>
      <c r="D3" s="98" t="s">
        <v>77</v>
      </c>
      <c r="E3" s="98" t="s">
        <v>78</v>
      </c>
      <c r="F3" s="98" t="s">
        <v>79</v>
      </c>
    </row>
    <row r="4">
      <c r="A4" s="102" t="s">
        <v>137</v>
      </c>
      <c r="B4" s="102" t="s">
        <v>155</v>
      </c>
      <c r="C4" s="102" t="s">
        <v>156</v>
      </c>
      <c r="D4" s="112" t="str">
        <f t="shared" ref="D4:D17" si="1">$C$2&amp;C4</f>
        <v>lpsg.dominio.com.br/lpsg-ig-bio</v>
      </c>
      <c r="E4" s="102"/>
      <c r="F4" s="102" t="s">
        <v>157</v>
      </c>
    </row>
    <row r="5">
      <c r="A5" s="107" t="s">
        <v>137</v>
      </c>
      <c r="B5" s="107" t="s">
        <v>158</v>
      </c>
      <c r="C5" s="107" t="s">
        <v>159</v>
      </c>
      <c r="D5" s="116" t="str">
        <f t="shared" si="1"/>
        <v>lpsg.dominio.com.br/lpsg-ig-story</v>
      </c>
      <c r="E5" s="107"/>
      <c r="F5" s="107" t="s">
        <v>157</v>
      </c>
    </row>
    <row r="6">
      <c r="A6" s="102" t="s">
        <v>137</v>
      </c>
      <c r="B6" s="102" t="s">
        <v>160</v>
      </c>
      <c r="C6" s="102" t="s">
        <v>161</v>
      </c>
      <c r="D6" s="112" t="str">
        <f t="shared" si="1"/>
        <v>lpsg.dominio.com.br/lpsg-yt-bio</v>
      </c>
      <c r="E6" s="102"/>
      <c r="F6" s="102" t="s">
        <v>157</v>
      </c>
    </row>
    <row r="7">
      <c r="A7" s="107" t="s">
        <v>137</v>
      </c>
      <c r="B7" s="107" t="s">
        <v>162</v>
      </c>
      <c r="C7" s="107" t="s">
        <v>163</v>
      </c>
      <c r="D7" s="116" t="str">
        <f t="shared" si="1"/>
        <v>lpsg.dominio.com.br/lpsg-yt-des</v>
      </c>
      <c r="E7" s="107"/>
      <c r="F7" s="107" t="s">
        <v>157</v>
      </c>
    </row>
    <row r="8">
      <c r="A8" s="102" t="s">
        <v>144</v>
      </c>
      <c r="B8" s="102" t="s">
        <v>164</v>
      </c>
      <c r="C8" s="102" t="s">
        <v>165</v>
      </c>
      <c r="D8" s="112" t="str">
        <f t="shared" si="1"/>
        <v>lpsg.dominio.com.br/lpsg-aula1</v>
      </c>
      <c r="E8" s="102"/>
      <c r="F8" s="102" t="s">
        <v>166</v>
      </c>
    </row>
    <row r="9">
      <c r="A9" s="107" t="s">
        <v>144</v>
      </c>
      <c r="B9" s="107" t="s">
        <v>167</v>
      </c>
      <c r="C9" s="107" t="s">
        <v>168</v>
      </c>
      <c r="D9" s="116" t="str">
        <f t="shared" si="1"/>
        <v>lpsg.dominio.com.br/lpsg-aula2</v>
      </c>
      <c r="E9" s="107"/>
      <c r="F9" s="107" t="s">
        <v>166</v>
      </c>
    </row>
    <row r="10">
      <c r="A10" s="102" t="s">
        <v>144</v>
      </c>
      <c r="B10" s="102" t="s">
        <v>169</v>
      </c>
      <c r="C10" s="102" t="s">
        <v>170</v>
      </c>
      <c r="D10" s="112" t="str">
        <f t="shared" si="1"/>
        <v>lpsg.dominio.com.br/lpsg-aula3</v>
      </c>
      <c r="E10" s="102"/>
      <c r="F10" s="102" t="s">
        <v>166</v>
      </c>
    </row>
    <row r="11">
      <c r="A11" s="107" t="s">
        <v>144</v>
      </c>
      <c r="B11" s="107" t="s">
        <v>171</v>
      </c>
      <c r="C11" s="107" t="s">
        <v>172</v>
      </c>
      <c r="D11" s="116" t="str">
        <f t="shared" si="1"/>
        <v>lpsg.dominio.com.br/lpsg-aula4</v>
      </c>
      <c r="E11" s="107"/>
      <c r="F11" s="107" t="s">
        <v>166</v>
      </c>
    </row>
    <row r="12">
      <c r="A12" s="102" t="s">
        <v>144</v>
      </c>
      <c r="B12" s="102" t="s">
        <v>173</v>
      </c>
      <c r="C12" s="102" t="s">
        <v>174</v>
      </c>
      <c r="D12" s="112" t="str">
        <f t="shared" si="1"/>
        <v>lpsg.dominio.com.br/lpsg-aula5</v>
      </c>
      <c r="E12" s="102"/>
      <c r="F12" s="102" t="s">
        <v>166</v>
      </c>
    </row>
    <row r="13">
      <c r="A13" s="107" t="s">
        <v>144</v>
      </c>
      <c r="B13" s="107" t="s">
        <v>175</v>
      </c>
      <c r="C13" s="107" t="s">
        <v>176</v>
      </c>
      <c r="D13" s="116" t="str">
        <f t="shared" si="1"/>
        <v>lpsg.dominio.com.br/lpsg-aula6</v>
      </c>
      <c r="E13" s="107"/>
      <c r="F13" s="107" t="s">
        <v>166</v>
      </c>
    </row>
    <row r="14">
      <c r="A14" s="102" t="s">
        <v>144</v>
      </c>
      <c r="B14" s="102" t="s">
        <v>177</v>
      </c>
      <c r="C14" s="111" t="s">
        <v>178</v>
      </c>
      <c r="D14" s="112" t="str">
        <f t="shared" si="1"/>
        <v>lpsg.dominio.com.br/lpsg-playlist</v>
      </c>
      <c r="E14" s="102"/>
      <c r="F14" s="102" t="s">
        <v>179</v>
      </c>
    </row>
    <row r="15">
      <c r="A15" s="105" t="s">
        <v>38</v>
      </c>
      <c r="B15" s="105" t="s">
        <v>180</v>
      </c>
      <c r="C15" s="105" t="s">
        <v>181</v>
      </c>
      <c r="D15" s="116" t="str">
        <f t="shared" si="1"/>
        <v>lpsg.dominio.com.br/checkout-d1</v>
      </c>
      <c r="E15" s="107"/>
      <c r="F15" s="36" t="s">
        <v>182</v>
      </c>
    </row>
    <row r="16">
      <c r="A16" s="100" t="s">
        <v>38</v>
      </c>
      <c r="B16" s="100" t="s">
        <v>183</v>
      </c>
      <c r="C16" s="100" t="s">
        <v>184</v>
      </c>
      <c r="D16" s="112" t="str">
        <f t="shared" si="1"/>
        <v>lpsg.dominio.com.br/checkout-geral</v>
      </c>
      <c r="E16" s="102"/>
      <c r="F16" s="111" t="s">
        <v>182</v>
      </c>
    </row>
    <row r="17">
      <c r="A17" s="105" t="s">
        <v>185</v>
      </c>
      <c r="B17" s="36" t="s">
        <v>186</v>
      </c>
      <c r="C17" s="36" t="s">
        <v>187</v>
      </c>
      <c r="D17" s="116" t="str">
        <f t="shared" si="1"/>
        <v>lpsg.dominio.com.br/lpsg-suporte</v>
      </c>
      <c r="E17" s="107"/>
      <c r="F17" s="36" t="s">
        <v>182</v>
      </c>
    </row>
    <row r="18">
      <c r="A18" s="100" t="s">
        <v>188</v>
      </c>
      <c r="B18" s="111" t="s">
        <v>189</v>
      </c>
      <c r="C18" s="111" t="s">
        <v>190</v>
      </c>
      <c r="D18" s="51"/>
      <c r="E18" s="102"/>
      <c r="F18" s="111" t="s">
        <v>191</v>
      </c>
    </row>
    <row r="19">
      <c r="A19" s="105" t="s">
        <v>188</v>
      </c>
      <c r="B19" s="36" t="s">
        <v>192</v>
      </c>
      <c r="C19" s="36" t="s">
        <v>190</v>
      </c>
      <c r="D19" s="56"/>
      <c r="E19" s="107"/>
      <c r="F19" s="36" t="s">
        <v>191</v>
      </c>
    </row>
    <row r="20">
      <c r="A20" s="100" t="s">
        <v>188</v>
      </c>
      <c r="B20" s="111" t="s">
        <v>193</v>
      </c>
      <c r="C20" s="111" t="s">
        <v>190</v>
      </c>
      <c r="D20" s="51"/>
      <c r="E20" s="102"/>
      <c r="F20" s="111" t="s">
        <v>191</v>
      </c>
    </row>
    <row r="21">
      <c r="A21" s="105" t="s">
        <v>188</v>
      </c>
      <c r="B21" s="36" t="s">
        <v>194</v>
      </c>
      <c r="C21" s="36" t="s">
        <v>190</v>
      </c>
      <c r="D21" s="56"/>
      <c r="E21" s="107"/>
      <c r="F21" s="36" t="s">
        <v>191</v>
      </c>
    </row>
    <row r="22">
      <c r="A22" s="51"/>
      <c r="B22" s="51"/>
      <c r="C22" s="51"/>
      <c r="D22" s="51"/>
      <c r="E22" s="51"/>
      <c r="F22" s="51"/>
    </row>
    <row r="23">
      <c r="A23" s="56"/>
      <c r="B23" s="56"/>
      <c r="C23" s="56"/>
      <c r="D23" s="56"/>
      <c r="E23" s="56"/>
      <c r="F23" s="56"/>
    </row>
    <row r="24">
      <c r="A24" s="51"/>
      <c r="B24" s="51"/>
      <c r="C24" s="51"/>
      <c r="D24" s="51"/>
      <c r="E24" s="51"/>
      <c r="F24" s="51"/>
    </row>
    <row r="25">
      <c r="A25" s="56"/>
      <c r="B25" s="56"/>
      <c r="C25" s="56"/>
      <c r="D25" s="56"/>
      <c r="E25" s="56"/>
      <c r="F25" s="56"/>
    </row>
    <row r="26">
      <c r="A26" s="51"/>
      <c r="B26" s="51"/>
      <c r="C26" s="51"/>
      <c r="D26" s="51"/>
      <c r="E26" s="51"/>
      <c r="F26" s="51"/>
    </row>
    <row r="27">
      <c r="A27" s="56"/>
      <c r="B27" s="56"/>
      <c r="C27" s="56"/>
      <c r="D27" s="56"/>
      <c r="E27" s="56"/>
      <c r="F27" s="56"/>
    </row>
    <row r="28">
      <c r="A28" s="51"/>
      <c r="B28" s="51"/>
      <c r="C28" s="51"/>
      <c r="D28" s="51"/>
      <c r="E28" s="51"/>
      <c r="F28" s="51"/>
    </row>
    <row r="29">
      <c r="A29" s="56"/>
      <c r="B29" s="56"/>
      <c r="C29" s="56"/>
      <c r="D29" s="56"/>
      <c r="E29" s="56"/>
      <c r="F29" s="56"/>
    </row>
  </sheetData>
  <mergeCells count="3">
    <mergeCell ref="A1:F1"/>
    <mergeCell ref="A2:B2"/>
    <mergeCell ref="C2:F2"/>
  </mergeCells>
  <dataValidations>
    <dataValidation type="list" allowBlank="1" showErrorMessage="1" sqref="A4:A21">
      <formula1>"Captação,Evento,Vendas,Pós-vendas,Geral,Grupos SendFlow"</formula1>
    </dataValidation>
    <dataValidation type="list" allowBlank="1" showErrorMessage="1" sqref="E4:E21">
      <formula1>"Em produção,Pronto para Rodar,Solicitado ajuste,No Ar,Fora do Ar,CONFERIR,AJUSTADO"</formula1>
    </dataValidation>
  </dataValidations>
  <hyperlinks>
    <hyperlink r:id="rId1" ref="C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" width="19.75"/>
    <col customWidth="1" min="3" max="3" width="16.5"/>
    <col customWidth="1" min="4" max="4" width="18.0"/>
    <col customWidth="1" min="5" max="5" width="17.75"/>
    <col customWidth="1" min="6" max="6" width="30.75"/>
    <col customWidth="1" min="7" max="7" width="30.0"/>
    <col customWidth="1" min="8" max="8" width="29.25"/>
    <col customWidth="1" min="9" max="9" width="29.13"/>
    <col customWidth="1" min="10" max="10" width="29.5"/>
    <col customWidth="1" min="11" max="11" width="28.5"/>
    <col customWidth="1" min="12" max="12" width="64.63"/>
    <col customWidth="1" min="13" max="13" width="30.13"/>
  </cols>
  <sheetData>
    <row r="1">
      <c r="A1" s="117" t="s">
        <v>195</v>
      </c>
      <c r="B1" s="118" t="s">
        <v>196</v>
      </c>
      <c r="C1" s="118" t="s">
        <v>197</v>
      </c>
      <c r="D1" s="118" t="s">
        <v>198</v>
      </c>
      <c r="E1" s="118" t="s">
        <v>199</v>
      </c>
      <c r="F1" s="119" t="s">
        <v>164</v>
      </c>
      <c r="G1" s="119" t="s">
        <v>167</v>
      </c>
      <c r="H1" s="119" t="s">
        <v>169</v>
      </c>
      <c r="I1" s="119" t="s">
        <v>171</v>
      </c>
      <c r="J1" s="119" t="s">
        <v>173</v>
      </c>
      <c r="K1" s="119" t="s">
        <v>175</v>
      </c>
      <c r="L1" s="120" t="s">
        <v>200</v>
      </c>
      <c r="M1" s="119" t="s">
        <v>201</v>
      </c>
    </row>
    <row r="2">
      <c r="A2" s="121" t="s">
        <v>48</v>
      </c>
      <c r="B2" s="122"/>
      <c r="C2" s="122"/>
      <c r="D2" s="122"/>
      <c r="E2" s="122"/>
      <c r="F2" s="123"/>
      <c r="G2" s="123"/>
      <c r="H2" s="123"/>
      <c r="I2" s="123"/>
      <c r="J2" s="123"/>
      <c r="K2" s="123"/>
      <c r="L2" s="124"/>
      <c r="M2" s="123"/>
    </row>
    <row r="3">
      <c r="A3" s="125"/>
      <c r="B3" s="126"/>
      <c r="C3" s="126"/>
      <c r="D3" s="126"/>
      <c r="E3" s="126"/>
      <c r="F3" s="125"/>
      <c r="G3" s="125"/>
      <c r="H3" s="125"/>
      <c r="I3" s="125"/>
      <c r="J3" s="125"/>
      <c r="K3" s="125"/>
      <c r="L3" s="125"/>
      <c r="M3" s="125"/>
    </row>
    <row r="4">
      <c r="A4" s="125"/>
      <c r="B4" s="126"/>
      <c r="C4" s="126"/>
      <c r="D4" s="126"/>
      <c r="E4" s="126"/>
      <c r="F4" s="125"/>
      <c r="G4" s="125"/>
      <c r="H4" s="125"/>
      <c r="I4" s="125"/>
      <c r="J4" s="125"/>
      <c r="K4" s="125"/>
      <c r="L4" s="125"/>
      <c r="M4" s="125"/>
    </row>
    <row r="5">
      <c r="A5" s="125"/>
      <c r="B5" s="126"/>
      <c r="C5" s="126"/>
      <c r="D5" s="126"/>
      <c r="E5" s="126"/>
      <c r="F5" s="125"/>
      <c r="G5" s="125"/>
      <c r="H5" s="125"/>
      <c r="I5" s="125"/>
      <c r="J5" s="125"/>
      <c r="K5" s="125"/>
      <c r="L5" s="125"/>
      <c r="M5" s="125"/>
    </row>
    <row r="6">
      <c r="A6" s="125"/>
      <c r="B6" s="126"/>
      <c r="C6" s="126"/>
      <c r="D6" s="126"/>
      <c r="E6" s="126"/>
      <c r="F6" s="125"/>
      <c r="G6" s="125"/>
      <c r="H6" s="125"/>
      <c r="I6" s="125"/>
      <c r="J6" s="125"/>
      <c r="K6" s="125"/>
      <c r="L6" s="125"/>
      <c r="M6" s="125"/>
    </row>
    <row r="7">
      <c r="A7" s="125"/>
      <c r="B7" s="126"/>
      <c r="C7" s="126"/>
      <c r="D7" s="126"/>
      <c r="E7" s="126"/>
      <c r="F7" s="125"/>
      <c r="G7" s="125"/>
      <c r="H7" s="125"/>
      <c r="I7" s="125"/>
      <c r="J7" s="125"/>
      <c r="K7" s="125"/>
      <c r="L7" s="125"/>
      <c r="M7" s="125"/>
    </row>
    <row r="8">
      <c r="A8" s="125"/>
      <c r="B8" s="126"/>
      <c r="C8" s="126"/>
      <c r="D8" s="126"/>
      <c r="E8" s="126"/>
      <c r="F8" s="125"/>
      <c r="G8" s="125"/>
      <c r="H8" s="125"/>
      <c r="I8" s="125"/>
      <c r="J8" s="125"/>
      <c r="K8" s="125"/>
      <c r="L8" s="125"/>
      <c r="M8" s="12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